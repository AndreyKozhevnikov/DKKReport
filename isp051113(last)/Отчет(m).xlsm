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ozhevnikov.andrey\Dropbox\C#\old\work\DKKReport\isp051113(last)\"/>
    </mc:Choice>
  </mc:AlternateContent>
  <bookViews>
    <workbookView xWindow="0" yWindow="0" windowWidth="9300" windowHeight="4755" tabRatio="319" firstSheet="1" activeTab="4"/>
  </bookViews>
  <sheets>
    <sheet name="svod" sheetId="2" r:id="rId1"/>
    <sheet name="base" sheetId="3" r:id="rId2"/>
    <sheet name="Sheet1" sheetId="10" r:id="rId3"/>
    <sheet name="Sheet1 (ish) (4)" sheetId="7" r:id="rId4"/>
    <sheet name="test" sheetId="11" r:id="rId5"/>
  </sheets>
  <functionGroups builtInGroupCount="18"/>
  <calcPr calcId="152511" refMode="R1C1"/>
</workbook>
</file>

<file path=xl/calcChain.xml><?xml version="1.0" encoding="utf-8"?>
<calcChain xmlns="http://schemas.openxmlformats.org/spreadsheetml/2006/main">
  <c r="M20" i="3" l="1"/>
  <c r="D285" i="2" l="1"/>
  <c r="E283" i="2"/>
  <c r="D283" i="2"/>
  <c r="E272" i="2"/>
  <c r="D272" i="2"/>
  <c r="E265" i="2"/>
  <c r="D265" i="2"/>
  <c r="E257" i="2"/>
  <c r="D257" i="2"/>
  <c r="E246" i="2"/>
  <c r="D246" i="2"/>
  <c r="E235" i="2"/>
  <c r="D235" i="2"/>
  <c r="E226" i="2"/>
  <c r="D226" i="2"/>
  <c r="E218" i="2"/>
  <c r="D218" i="2"/>
  <c r="E180" i="2"/>
  <c r="D180" i="2"/>
  <c r="E169" i="2"/>
  <c r="D169" i="2"/>
  <c r="E164" i="2"/>
  <c r="D164" i="2"/>
  <c r="E151" i="2"/>
  <c r="D151" i="2"/>
  <c r="E119" i="2"/>
  <c r="D119" i="2"/>
  <c r="E101" i="2"/>
  <c r="D101" i="2"/>
  <c r="E94" i="2"/>
  <c r="D94" i="2"/>
  <c r="E90" i="2"/>
  <c r="E285" i="2" s="1"/>
  <c r="D90" i="2"/>
  <c r="E83" i="2"/>
  <c r="D83" i="2"/>
  <c r="E67" i="2"/>
  <c r="D67" i="2"/>
  <c r="E56" i="2"/>
  <c r="E58" i="2" s="1"/>
  <c r="D56" i="2"/>
  <c r="D58" i="2" s="1"/>
  <c r="E49" i="2"/>
  <c r="D49" i="2"/>
  <c r="E26" i="2"/>
  <c r="D26" i="2"/>
</calcChain>
</file>

<file path=xl/sharedStrings.xml><?xml version="1.0" encoding="utf-8"?>
<sst xmlns="http://schemas.openxmlformats.org/spreadsheetml/2006/main" count="1813" uniqueCount="562">
  <si>
    <t>Сводный отчет по прибыли и убыткам</t>
  </si>
  <si>
    <t>за период с 01.04.12 по 30.04.12
год с 01.05.11 по 30.04.12</t>
  </si>
  <si>
    <t>№</t>
  </si>
  <si>
    <t>Статья</t>
  </si>
  <si>
    <t>Период</t>
  </si>
  <si>
    <t>Год</t>
  </si>
  <si>
    <t>Комментарий</t>
  </si>
  <si>
    <t>Ответ. за статью</t>
  </si>
  <si>
    <t>Получатель</t>
  </si>
  <si>
    <t xml:space="preserve">  Выручка</t>
  </si>
  <si>
    <t xml:space="preserve"> </t>
  </si>
  <si>
    <t>1</t>
  </si>
  <si>
    <t>Услуги службы ТД</t>
  </si>
  <si>
    <t>2</t>
  </si>
  <si>
    <t>Услуги юр.лицам</t>
  </si>
  <si>
    <t>3</t>
  </si>
  <si>
    <t>Мебель</t>
  </si>
  <si>
    <t>4</t>
  </si>
  <si>
    <t>Лотки</t>
  </si>
  <si>
    <t>5</t>
  </si>
  <si>
    <t>Субаренда Дз.28</t>
  </si>
  <si>
    <t>6</t>
  </si>
  <si>
    <t>Galaxy (VIP)</t>
  </si>
  <si>
    <t>7</t>
  </si>
  <si>
    <t>Продажа навигаторов (прибыль)</t>
  </si>
  <si>
    <t>8</t>
  </si>
  <si>
    <t>Телефоны "Дружки"</t>
  </si>
  <si>
    <t>9</t>
  </si>
  <si>
    <t>Микроавтобус</t>
  </si>
  <si>
    <t>10</t>
  </si>
  <si>
    <t>Интернет водителей (возмещ)</t>
  </si>
  <si>
    <t>11</t>
  </si>
  <si>
    <t>Рено 1 (VIP)</t>
  </si>
  <si>
    <t>12</t>
  </si>
  <si>
    <t>Рено 2 (VIP)</t>
  </si>
  <si>
    <t>13</t>
  </si>
  <si>
    <t>Магниты такси</t>
  </si>
  <si>
    <t>14</t>
  </si>
  <si>
    <t>Запчасти со склада (продажа)</t>
  </si>
  <si>
    <t>15</t>
  </si>
  <si>
    <t>Возмещение ФСС по пособиям на детей</t>
  </si>
  <si>
    <t>16</t>
  </si>
  <si>
    <t>Возмещения арендаторов</t>
  </si>
  <si>
    <t>17</t>
  </si>
  <si>
    <t>Должники</t>
  </si>
  <si>
    <t>18</t>
  </si>
  <si>
    <t>Залоги водителей</t>
  </si>
  <si>
    <t xml:space="preserve">  Итого по группе "Выручка"</t>
  </si>
  <si>
    <t xml:space="preserve">  Продажа пассивов/Форды</t>
  </si>
  <si>
    <t>Продажа Форд № 11</t>
  </si>
  <si>
    <t>Продажа Форд № 12</t>
  </si>
  <si>
    <t>Продажа Форд № 14</t>
  </si>
  <si>
    <t>Продажа Форд № 8</t>
  </si>
  <si>
    <t>Продажа Форд № 16</t>
  </si>
  <si>
    <t>Продажа Форд № 17</t>
  </si>
  <si>
    <t>Продажа Форд № 18</t>
  </si>
  <si>
    <t>Продажа Форд № 19</t>
  </si>
  <si>
    <t>Продажа Форд № 6</t>
  </si>
  <si>
    <t>Продажа Форд № 5</t>
  </si>
  <si>
    <t>Продажа Форд № 4</t>
  </si>
  <si>
    <t>Продажа Форд № 22</t>
  </si>
  <si>
    <t>Продажа Форд № 23</t>
  </si>
  <si>
    <t>Продажа Форд № 3</t>
  </si>
  <si>
    <t>Продажа Форд № 21</t>
  </si>
  <si>
    <t>Продажа Форд № 2</t>
  </si>
  <si>
    <t>Продажа Форд № 15</t>
  </si>
  <si>
    <t>Продажа Форд № 20</t>
  </si>
  <si>
    <t>19</t>
  </si>
  <si>
    <t>Продажа Форд № 1</t>
  </si>
  <si>
    <t>20</t>
  </si>
  <si>
    <t>Продажа Форд № 9</t>
  </si>
  <si>
    <t xml:space="preserve">  Итого по группе "Продажа пассивов/Форды"</t>
  </si>
  <si>
    <t xml:space="preserve">  Продажа пассивов/Прочие</t>
  </si>
  <si>
    <t>Продажа сруба</t>
  </si>
  <si>
    <t>Продажа Мерседес</t>
  </si>
  <si>
    <t>Продажа с/х земель</t>
  </si>
  <si>
    <t>Продажа шин мерс.</t>
  </si>
  <si>
    <t xml:space="preserve">  Итого по группе "Продажа пассивов/Прочие"</t>
  </si>
  <si>
    <t xml:space="preserve">   Онлайн/G-PS</t>
  </si>
  <si>
    <t>Сотовые телефоны Nokia +аксессуары</t>
  </si>
  <si>
    <t>Програмный продукт</t>
  </si>
  <si>
    <t xml:space="preserve">   Итого по группе "Онлайн/G-PS"</t>
  </si>
  <si>
    <t xml:space="preserve">   Лицензирование, новые правила</t>
  </si>
  <si>
    <t>Программа для таксометров</t>
  </si>
  <si>
    <t>Путевые листы, БСО</t>
  </si>
  <si>
    <t>Компенсация за навигатор</t>
  </si>
  <si>
    <t>Лицензирование: разовая работа по оформлению</t>
  </si>
  <si>
    <t>Лицензирование: Таксопарк</t>
  </si>
  <si>
    <t>Навигаторы</t>
  </si>
  <si>
    <t>Открытие орг.таксопарк (юристы)</t>
  </si>
  <si>
    <t>Печать таксопарка</t>
  </si>
  <si>
    <t>Проверка таксометров</t>
  </si>
  <si>
    <t>Сертификат такси</t>
  </si>
  <si>
    <t>Услуги аудитора</t>
  </si>
  <si>
    <t>Юрист (Наталья) - нов.закон такси</t>
  </si>
  <si>
    <t xml:space="preserve">   Итого по группе "Лицензирование, новые правила"</t>
  </si>
  <si>
    <t xml:space="preserve">   Доработка программы (петров Ю.)</t>
  </si>
  <si>
    <t>Доработка программы</t>
  </si>
  <si>
    <t xml:space="preserve">   Итого по группе "Доработка программы (петров Ю.)"</t>
  </si>
  <si>
    <t xml:space="preserve">   Внедрение Asterix</t>
  </si>
  <si>
    <t>Оборудование Asterisk</t>
  </si>
  <si>
    <t>Запись голосов</t>
  </si>
  <si>
    <t>Телефоны</t>
  </si>
  <si>
    <t xml:space="preserve">   Итого по группе "Внедрение Asterix"</t>
  </si>
  <si>
    <t xml:space="preserve">   Авто-Тех-Центр</t>
  </si>
  <si>
    <t>Макет проекта</t>
  </si>
  <si>
    <t>Инженерно-геодезические работы</t>
  </si>
  <si>
    <t>Экспертиза проекта СЭС</t>
  </si>
  <si>
    <t>Анализ рынка автомоек</t>
  </si>
  <si>
    <t>Аренда зем.участка</t>
  </si>
  <si>
    <t>Забор</t>
  </si>
  <si>
    <t>Изготовление макета</t>
  </si>
  <si>
    <t>Инвестиционный контракт по зем.участку</t>
  </si>
  <si>
    <t>Книги</t>
  </si>
  <si>
    <t>Оборудование</t>
  </si>
  <si>
    <t>Подготовка документов для строительства</t>
  </si>
  <si>
    <t>Покупка права аренды зем.участка</t>
  </si>
  <si>
    <t>Разметка границ</t>
  </si>
  <si>
    <t>Расчет загрязнений</t>
  </si>
  <si>
    <t>Услуги детективов</t>
  </si>
  <si>
    <t xml:space="preserve">   Итого по группе "Авто-Тех-Центр"</t>
  </si>
  <si>
    <t xml:space="preserve">  Ден.инвестиции</t>
  </si>
  <si>
    <t>Депозиты в банке</t>
  </si>
  <si>
    <t>БС/Трейдинг</t>
  </si>
  <si>
    <t>Фин.резерв. НЗ</t>
  </si>
  <si>
    <t xml:space="preserve">  Итого по группе "Ден.инвестиции"</t>
  </si>
  <si>
    <t xml:space="preserve">  Действующие направления</t>
  </si>
  <si>
    <t>FORD Galaxy+ автомагнитола+ коврики</t>
  </si>
  <si>
    <t>Реконструкция и кап.ремонт К.42</t>
  </si>
  <si>
    <t>Рено 1</t>
  </si>
  <si>
    <t>Рено 2</t>
  </si>
  <si>
    <t xml:space="preserve">  Итого по группе "Действующие направления"</t>
  </si>
  <si>
    <t xml:space="preserve">   Имущество</t>
  </si>
  <si>
    <t>Электрогенератор</t>
  </si>
  <si>
    <t>Бесперебойник</t>
  </si>
  <si>
    <t>Детектор валют</t>
  </si>
  <si>
    <t>Замена кабеля К.42</t>
  </si>
  <si>
    <t>Зарядка на телефон</t>
  </si>
  <si>
    <t>Кассовый аппарат</t>
  </si>
  <si>
    <t>Оформление земли К.42</t>
  </si>
  <si>
    <t>Подключение интернет</t>
  </si>
  <si>
    <t>Р/ст и антенны</t>
  </si>
  <si>
    <t>Стабилизатор напряжения</t>
  </si>
  <si>
    <t>Счетчик банкнот</t>
  </si>
  <si>
    <t xml:space="preserve">   Итого по группе "Имущество"</t>
  </si>
  <si>
    <t xml:space="preserve">   Квартира (Паша)</t>
  </si>
  <si>
    <t>Ремонт</t>
  </si>
  <si>
    <t>Покупка</t>
  </si>
  <si>
    <t xml:space="preserve">   Итого по группе "Квартира (Паша)"</t>
  </si>
  <si>
    <t xml:space="preserve"> Юр.лица</t>
  </si>
  <si>
    <t>Компенсация за услуги юр.лицам</t>
  </si>
  <si>
    <t xml:space="preserve"> Итого по группе "Юр.лица"</t>
  </si>
  <si>
    <t xml:space="preserve">  Зар. Плата, налоги с ФОТ(ПФ, НДФЛ, ЕСН, травм.)</t>
  </si>
  <si>
    <t>Диспетчера + ав. (12чел)</t>
  </si>
  <si>
    <t>Менеджер по кадрам Казанцева Е.</t>
  </si>
  <si>
    <t>Ген.директор Зубенко А.А.</t>
  </si>
  <si>
    <t>Курьер Шалыгин</t>
  </si>
  <si>
    <t>Директор такси Гришкин Д.Ю.</t>
  </si>
  <si>
    <t>Зам.главного бухгалтера Плесцова О.А.</t>
  </si>
  <si>
    <t>Дир.рынка Грибков С.Н.</t>
  </si>
  <si>
    <t>Специалист по тех.анализу Кожевников А.</t>
  </si>
  <si>
    <t>Оф.-мен.Крысина Н.В.</t>
  </si>
  <si>
    <t>Сторож Будылин</t>
  </si>
  <si>
    <t>Сторож Шелгунов</t>
  </si>
  <si>
    <t>Сканирование Харитонова М.</t>
  </si>
  <si>
    <t>Оператор чистоты Малова Р.С.</t>
  </si>
  <si>
    <t>Дворник К.42</t>
  </si>
  <si>
    <t>Бухгалтер-кассир Сорокина Л.Н.</t>
  </si>
  <si>
    <t>Дворник- рынок</t>
  </si>
  <si>
    <t>Замена Кож.</t>
  </si>
  <si>
    <t>Подменный Подлипный/Петров Ю. , замена Кож.</t>
  </si>
  <si>
    <t>Сторож Белков</t>
  </si>
  <si>
    <t>Технич. Директор Дрожжаков С.</t>
  </si>
  <si>
    <t xml:space="preserve">  Итого по группе "Зар. Плата, налоги с ФОТ(ПФ, НДФЛ, ЕСН, травм.)"</t>
  </si>
  <si>
    <t xml:space="preserve">  ФМС</t>
  </si>
  <si>
    <t>Чай/кофе</t>
  </si>
  <si>
    <t>День рождения</t>
  </si>
  <si>
    <t>Аптечка</t>
  </si>
  <si>
    <t>Благотворительность</t>
  </si>
  <si>
    <t>Вода питьевая</t>
  </si>
  <si>
    <t>Мат.помощь</t>
  </si>
  <si>
    <t>Новогодние бонусы</t>
  </si>
  <si>
    <t>Очки диспетчерам</t>
  </si>
  <si>
    <t>Подарки детям</t>
  </si>
  <si>
    <t>Представительские (прочие)</t>
  </si>
  <si>
    <t xml:space="preserve">  Итого по группе "ФМС"</t>
  </si>
  <si>
    <t xml:space="preserve">  Распределение прибыли</t>
  </si>
  <si>
    <t>Н.В.</t>
  </si>
  <si>
    <t>О.А.</t>
  </si>
  <si>
    <t xml:space="preserve">  Итого по группе "Распределение прибыли"</t>
  </si>
  <si>
    <t xml:space="preserve"> Налоги,пени(кроме с ФОТ) и рентные платежи</t>
  </si>
  <si>
    <t>УСН</t>
  </si>
  <si>
    <t>ЕНВД</t>
  </si>
  <si>
    <t>Аренда помещения</t>
  </si>
  <si>
    <t>Единовр.пособие по рожд.ребенка и по ух.за ребенком</t>
  </si>
  <si>
    <t>Земельный налог ( К.42)</t>
  </si>
  <si>
    <t>Госпошлина (выписки из ЕГРЮЛ,  из кадастра)</t>
  </si>
  <si>
    <t>Аренда земли рынок</t>
  </si>
  <si>
    <t>Вывоз ТБО</t>
  </si>
  <si>
    <t xml:space="preserve"> Итого по группе "Налоги,пени(кроме с ФОТ) и рентные платежи"</t>
  </si>
  <si>
    <t xml:space="preserve"> Текущие и  Эксплуатационные расходы</t>
  </si>
  <si>
    <t>Центртелеком (поток Е1)</t>
  </si>
  <si>
    <t>Аренда К.42 (Павел З.)</t>
  </si>
  <si>
    <t>Интернет "Дружки"</t>
  </si>
  <si>
    <t>Ремонт и обслуживание К.42</t>
  </si>
  <si>
    <t>Услуги связи Asterix</t>
  </si>
  <si>
    <t>Транспортные офис</t>
  </si>
  <si>
    <t>Расчетно-кассовое обслуживание</t>
  </si>
  <si>
    <t>Коммунальные услуги К.42 (газ)</t>
  </si>
  <si>
    <t>Консультант-плюс</t>
  </si>
  <si>
    <t>Радиочастотный центр (за ежемесячное обслуживание)</t>
  </si>
  <si>
    <t>Интернет</t>
  </si>
  <si>
    <t>Вывоз мусора</t>
  </si>
  <si>
    <t>Канцтовары</t>
  </si>
  <si>
    <t>Уход за аквариумом</t>
  </si>
  <si>
    <t>Центртелеком (телефонная связь Д.28, К.42)</t>
  </si>
  <si>
    <t>Ремонт оргтехники</t>
  </si>
  <si>
    <t>Сотовая связь (сотр)</t>
  </si>
  <si>
    <t>Аренда генератора</t>
  </si>
  <si>
    <t>Ремонт и обслуживание рынка</t>
  </si>
  <si>
    <t>Сотовая связь (А.А.)</t>
  </si>
  <si>
    <t>21</t>
  </si>
  <si>
    <t>Заправка картриджей</t>
  </si>
  <si>
    <t>22</t>
  </si>
  <si>
    <t>Коммунальные услуги К.42 (вода)</t>
  </si>
  <si>
    <t>23</t>
  </si>
  <si>
    <t>Хоз. нужды</t>
  </si>
  <si>
    <t>24</t>
  </si>
  <si>
    <t>Почтовые услуги</t>
  </si>
  <si>
    <t>25</t>
  </si>
  <si>
    <t>НТВ+</t>
  </si>
  <si>
    <t>26</t>
  </si>
  <si>
    <t>Аренда места под антенну</t>
  </si>
  <si>
    <t>27</t>
  </si>
  <si>
    <t>Вентилятор нап.</t>
  </si>
  <si>
    <t>28</t>
  </si>
  <si>
    <t>Заправка огнетушителей</t>
  </si>
  <si>
    <t>29</t>
  </si>
  <si>
    <t>Коммунальные услуги К.42 (свет)</t>
  </si>
  <si>
    <t>30</t>
  </si>
  <si>
    <t>Обслуживание ККМ</t>
  </si>
  <si>
    <t>31</t>
  </si>
  <si>
    <t>Пластиковые карточки юр.лиц</t>
  </si>
  <si>
    <t>32</t>
  </si>
  <si>
    <t>Подписка на журналы</t>
  </si>
  <si>
    <t>33</t>
  </si>
  <si>
    <t>Услуги Скайлинк</t>
  </si>
  <si>
    <t>34</t>
  </si>
  <si>
    <t>Уход за участком к.42</t>
  </si>
  <si>
    <t>35</t>
  </si>
  <si>
    <t>Эл.почтовый ящик</t>
  </si>
  <si>
    <t xml:space="preserve"> Итого по группе "Текущие и  Эксплуатационные расходы"</t>
  </si>
  <si>
    <t xml:space="preserve"> Кредиты</t>
  </si>
  <si>
    <t>Возврат залогов</t>
  </si>
  <si>
    <t>% по кредитам</t>
  </si>
  <si>
    <t>Комиссия банка</t>
  </si>
  <si>
    <t>Пени по налогу</t>
  </si>
  <si>
    <t>Погашение кредита</t>
  </si>
  <si>
    <t xml:space="preserve"> Итого по группе "Кредиты"</t>
  </si>
  <si>
    <t xml:space="preserve"> Аутсорсинг. Консульт., эксперты, внешт. сотрудники</t>
  </si>
  <si>
    <t>Внешняя бухгалтерия</t>
  </si>
  <si>
    <t>Услуги программиста</t>
  </si>
  <si>
    <t>Тревожная кнопка</t>
  </si>
  <si>
    <t>Охрана сборов по рынку</t>
  </si>
  <si>
    <t>Запись мелодий</t>
  </si>
  <si>
    <t>Услуги нотариуса</t>
  </si>
  <si>
    <t xml:space="preserve"> Итого по группе "Аутсорсинг. Консульт., эксперты, внешт. сотрудники"</t>
  </si>
  <si>
    <t xml:space="preserve">  Galaxy</t>
  </si>
  <si>
    <t>Обслуживание и ремонт</t>
  </si>
  <si>
    <t>Бензин Galaxy</t>
  </si>
  <si>
    <t>Ремонт после ДТП</t>
  </si>
  <si>
    <t xml:space="preserve">  Итого по группе "Galaxy"</t>
  </si>
  <si>
    <t xml:space="preserve">  Мерседес (обслуж., мойка, бензин, налог на транспорт)</t>
  </si>
  <si>
    <t>Бензин Мерседес</t>
  </si>
  <si>
    <t>Обслуживание Мерседес</t>
  </si>
  <si>
    <t>Ремонт Мерседес</t>
  </si>
  <si>
    <t>Транспортный налог</t>
  </si>
  <si>
    <t xml:space="preserve">  Итого по группе "Мерседес (обслуж., мойка, бензин, налог на транспорт)"</t>
  </si>
  <si>
    <t xml:space="preserve">  Рено 1</t>
  </si>
  <si>
    <t xml:space="preserve">  Итого по группе "Рено 1"</t>
  </si>
  <si>
    <t xml:space="preserve">  Рено 2</t>
  </si>
  <si>
    <t xml:space="preserve">  Итого по группе "Рено 2"</t>
  </si>
  <si>
    <t xml:space="preserve">  Форды</t>
  </si>
  <si>
    <t>Борт № 1</t>
  </si>
  <si>
    <t>Борт № 9</t>
  </si>
  <si>
    <t xml:space="preserve">  Итого по группе "Форды"</t>
  </si>
  <si>
    <t xml:space="preserve">  Бензин Грибков</t>
  </si>
  <si>
    <t xml:space="preserve">  Итого по группе "Бензин Грибков"</t>
  </si>
  <si>
    <t xml:space="preserve">  Бензин Шалыгин</t>
  </si>
  <si>
    <t xml:space="preserve">  Итого по группе "Бензин Шалыгин"</t>
  </si>
  <si>
    <t xml:space="preserve">  Транспортный налог</t>
  </si>
  <si>
    <t xml:space="preserve">  Итого по группе "Транспортный налог"</t>
  </si>
  <si>
    <t xml:space="preserve"> Услуги юристов</t>
  </si>
  <si>
    <t>Наталья Фед.</t>
  </si>
  <si>
    <t>Взнос в КТПП</t>
  </si>
  <si>
    <t>Зуева</t>
  </si>
  <si>
    <t>Суд по рынку (Оценка недвижимости)</t>
  </si>
  <si>
    <t>Суд по рынку (претензия)</t>
  </si>
  <si>
    <t>Юрист (постоянный)</t>
  </si>
  <si>
    <t>Юристконсульт</t>
  </si>
  <si>
    <t xml:space="preserve"> Итого по группе "Услуги юристов"</t>
  </si>
  <si>
    <t xml:space="preserve"> Реклама</t>
  </si>
  <si>
    <t>Акция "Приведи друга"</t>
  </si>
  <si>
    <t>СМС-рассылка</t>
  </si>
  <si>
    <t>Макет бейджа</t>
  </si>
  <si>
    <t>Наклейки (форды, шашки)</t>
  </si>
  <si>
    <t>Виизитки</t>
  </si>
  <si>
    <t>Публикация в справочнике</t>
  </si>
  <si>
    <t>Реклама на радио (он-лайн ТД)</t>
  </si>
  <si>
    <t>Реклама на радио (таксометры бесплатно, лиц-е быстро)</t>
  </si>
  <si>
    <t xml:space="preserve"> Итого по группе "Реклама"</t>
  </si>
  <si>
    <t xml:space="preserve"> С/х земли</t>
  </si>
  <si>
    <t>Налоги</t>
  </si>
  <si>
    <t>Оформление сделки (трансп.)</t>
  </si>
  <si>
    <t>Штраф адм.правонар.</t>
  </si>
  <si>
    <t>Юрист</t>
  </si>
  <si>
    <t xml:space="preserve"> Итого по группе "С/х земли"</t>
  </si>
  <si>
    <t xml:space="preserve"> Рождественно (оформление насл.)</t>
  </si>
  <si>
    <t>Доля Л.А.</t>
  </si>
  <si>
    <t>Рег.услуги</t>
  </si>
  <si>
    <t>Покупка зем.участка</t>
  </si>
  <si>
    <t xml:space="preserve"> Итого по группе "Рождественно (оформление насл.)"</t>
  </si>
  <si>
    <t xml:space="preserve"> ПРОЧЕЕ</t>
  </si>
  <si>
    <t>№ 16</t>
  </si>
  <si>
    <t>№ 21</t>
  </si>
  <si>
    <t>№ 23</t>
  </si>
  <si>
    <t>Билайн</t>
  </si>
  <si>
    <t>Жесткий диск</t>
  </si>
  <si>
    <t>Обучение охрана труда</t>
  </si>
  <si>
    <t>Потери</t>
  </si>
  <si>
    <t>Прочие</t>
  </si>
  <si>
    <t xml:space="preserve"> Итого по группе "ПРОЧЕЕ"</t>
  </si>
  <si>
    <t>Чистая прибыль</t>
  </si>
  <si>
    <t>Доходы</t>
  </si>
  <si>
    <t>№№</t>
  </si>
  <si>
    <t>Выручка</t>
  </si>
  <si>
    <t>Продажа пассивов/Форды</t>
  </si>
  <si>
    <t>Продажа пассивов/Прочие</t>
  </si>
  <si>
    <t>Расходы</t>
  </si>
  <si>
    <t>Сводный отчет по прибыли и убыткам по группе предприятий ДКК</t>
  </si>
  <si>
    <t>Отчет с</t>
  </si>
  <si>
    <t>01.05.11 по 30.04.12</t>
  </si>
  <si>
    <t>Итого по группе "Выручка"</t>
  </si>
  <si>
    <t>Итого по группе "Продажа пассивов/Форды"</t>
  </si>
  <si>
    <t>Итого по группе "Продажа пассивов/Прочие"</t>
  </si>
  <si>
    <t>Онлайн/G-PS</t>
  </si>
  <si>
    <t>Итого по группе "Онлайн/G-PS"</t>
  </si>
  <si>
    <t>Лицензирование, новые правила</t>
  </si>
  <si>
    <t>Итого по группе "Лицензирование, новые правила"</t>
  </si>
  <si>
    <t>Доработка программы (петров Ю.)</t>
  </si>
  <si>
    <t>Итого по группе "Доработка программы (петров Ю.)"</t>
  </si>
  <si>
    <t>Внедрение Asterix</t>
  </si>
  <si>
    <t>Итого по группе "Внедрение Asterix"</t>
  </si>
  <si>
    <t>Авто-Тех-Центр</t>
  </si>
  <si>
    <t>Итого по группе "Авто-Тех-Центр"</t>
  </si>
  <si>
    <t>Ден.инвестиции</t>
  </si>
  <si>
    <t>Итого по группе "Ден.инвестиции"</t>
  </si>
  <si>
    <t>Действующие направления</t>
  </si>
  <si>
    <t>Итого по группе "Действующие направления"</t>
  </si>
  <si>
    <t>Имущество</t>
  </si>
  <si>
    <t>Итого по группе "Имущество"</t>
  </si>
  <si>
    <t>Квартира (Паша)</t>
  </si>
  <si>
    <t>Итого по группе "Квартира (Паша)"</t>
  </si>
  <si>
    <t>Юр.лица</t>
  </si>
  <si>
    <t>Итого по группе "Юр.лица"</t>
  </si>
  <si>
    <t>Зар. Плата, налоги с ФОТ(ПФ, НДФЛ, ЕСН, травм.)</t>
  </si>
  <si>
    <t>Итого по группе "Зар. Плата, налоги с ФОТ(ПФ, НДФЛ, ЕСН, травм.)"</t>
  </si>
  <si>
    <t>ФМС</t>
  </si>
  <si>
    <t>Итого по группе "ФМС"</t>
  </si>
  <si>
    <t>Распределение прибыли</t>
  </si>
  <si>
    <t>Итого по группе "Распределение прибыли"</t>
  </si>
  <si>
    <t>Налоги,пени(кроме с ФОТ) и рентные платежи</t>
  </si>
  <si>
    <t>Итого по группе "Налоги,пени(кроме с ФОТ) и рентные платежи"</t>
  </si>
  <si>
    <t>Текущие и  Эксплуатационные расходы</t>
  </si>
  <si>
    <t>Итого по группе "Текущие и  Эксплуатационные расходы"</t>
  </si>
  <si>
    <t>Кредиты</t>
  </si>
  <si>
    <t>Итого по группе "Кредиты"</t>
  </si>
  <si>
    <t>Аутсорсинг. Консульт., эксперты, внешт. сотрудники</t>
  </si>
  <si>
    <t>Итого по группе "Аутсорсинг. Консульт., эксперты, внешт. сотрудники"</t>
  </si>
  <si>
    <t>Galaxy</t>
  </si>
  <si>
    <t>Итого по группе "Galaxy"</t>
  </si>
  <si>
    <t>Мерседес (обслуж., мойка, бензин, налог на транспорт)</t>
  </si>
  <si>
    <t>Итого по группе "Мерседес (обслуж., мойка, бензин, налог на транспорт)"</t>
  </si>
  <si>
    <t>Итого по группе "Рено 1"</t>
  </si>
  <si>
    <t>Итого по группе "Рено 2"</t>
  </si>
  <si>
    <t>Форды</t>
  </si>
  <si>
    <t>Итого по группе "Форды"</t>
  </si>
  <si>
    <t>Бензин Грибков</t>
  </si>
  <si>
    <t>Итого по группе "Бензин Грибков"</t>
  </si>
  <si>
    <t>Бензин Шалыгин</t>
  </si>
  <si>
    <t>Итого по группе "Бензин Шалыгин"</t>
  </si>
  <si>
    <t>Итого по группе "Транспортный налог"</t>
  </si>
  <si>
    <t>Услуги юристов</t>
  </si>
  <si>
    <t>Итого по группе "Услуги юристов"</t>
  </si>
  <si>
    <t>Реклама</t>
  </si>
  <si>
    <t>Итого по группе "Реклама"</t>
  </si>
  <si>
    <t>С/х земли</t>
  </si>
  <si>
    <t>Итого по группе "С/х земли"</t>
  </si>
  <si>
    <t>Рождественно (оформление насл.)</t>
  </si>
  <si>
    <t>Итого по группе "Рождественно (оформление насл.)"</t>
  </si>
  <si>
    <t>ПРОЧЕЕ</t>
  </si>
  <si>
    <t>Итого по группе "ПРОЧЕЕ"</t>
  </si>
  <si>
    <t>Итого по Выручка</t>
  </si>
  <si>
    <t>Итого по Продажа пассивов/Форды</t>
  </si>
  <si>
    <t>Итого по Продажа пассивов/Прочие</t>
  </si>
  <si>
    <t>Итого</t>
  </si>
  <si>
    <t>Аренда авто (№ 1) условно для А.А.</t>
  </si>
  <si>
    <t>VIP заказ</t>
  </si>
  <si>
    <t>Страховые выплаты по Galaxy</t>
  </si>
  <si>
    <t xml:space="preserve">Световые короба </t>
  </si>
  <si>
    <t>Возмещения страховые</t>
  </si>
  <si>
    <t>Имущество,Капит. влож. Инвестиции</t>
  </si>
  <si>
    <t>2.1</t>
  </si>
  <si>
    <t>2.1.1</t>
  </si>
  <si>
    <t>ТД</t>
  </si>
  <si>
    <t>2.1.1.1</t>
  </si>
  <si>
    <t>2.1.1.2</t>
  </si>
  <si>
    <t>2.1.1.3</t>
  </si>
  <si>
    <t>2.1.1.4</t>
  </si>
  <si>
    <t>2.1.1.5</t>
  </si>
  <si>
    <t>2.1.1.6</t>
  </si>
  <si>
    <t>1.1.1.1.5</t>
  </si>
  <si>
    <t>1.1.1.1.8</t>
  </si>
  <si>
    <t>1.1.1.1.13</t>
  </si>
  <si>
    <t>1.1.1.1.16</t>
  </si>
  <si>
    <t>1.1.1.1.17</t>
  </si>
  <si>
    <t>Итого по Онлайн/G-PS</t>
  </si>
  <si>
    <t>Итого по Лицензирование, новые правила</t>
  </si>
  <si>
    <t>Итого по Внедрение Asterix</t>
  </si>
  <si>
    <t>Итого по Доработка программы (петров Ю.)</t>
  </si>
  <si>
    <t>Итого по Действующие направления</t>
  </si>
  <si>
    <t>Итого по Авто-Тех-Центр</t>
  </si>
  <si>
    <t>1.1.1.1</t>
  </si>
  <si>
    <t>1.1.1.2</t>
  </si>
  <si>
    <t>1.1.1.3</t>
  </si>
  <si>
    <t>2.1.2</t>
  </si>
  <si>
    <t>Мини-рынок</t>
  </si>
  <si>
    <t>2.1.3</t>
  </si>
  <si>
    <t>Туризм-Колхоз-Лобаново</t>
  </si>
  <si>
    <t>2.1.4</t>
  </si>
  <si>
    <t>2.1.5</t>
  </si>
  <si>
    <t>2.1.6</t>
  </si>
  <si>
    <t>ПРОЧИЕ</t>
  </si>
  <si>
    <t>2.1.7</t>
  </si>
  <si>
    <t>2.1.8</t>
  </si>
  <si>
    <t>2.2</t>
  </si>
  <si>
    <t>Персонал</t>
  </si>
  <si>
    <t>2.3</t>
  </si>
  <si>
    <t>АВТО</t>
  </si>
  <si>
    <t>ТКЛ (текущие расходы)</t>
  </si>
  <si>
    <t>2.9</t>
  </si>
  <si>
    <t>Итого по Зар. Плата, налоги с ФОТ(ПФ, НДФЛ, ЕСН, травм.)</t>
  </si>
  <si>
    <t>Итого по ФМС</t>
  </si>
  <si>
    <t>Итого по Распределение прибыли</t>
  </si>
  <si>
    <t>1.</t>
  </si>
  <si>
    <t>2.3.1.1</t>
  </si>
  <si>
    <t>2.3.2.1</t>
  </si>
  <si>
    <t>2.3.3.1</t>
  </si>
  <si>
    <t>2.4.1.1</t>
  </si>
  <si>
    <t>Итого по Налоги,пени(кроме с ФОТ) и рентные платежи</t>
  </si>
  <si>
    <t>2.5.1.1</t>
  </si>
  <si>
    <t>Итого по Текущие и  Эксплуатационные расходы</t>
  </si>
  <si>
    <t>2.6.1.1</t>
  </si>
  <si>
    <t>2.7.1.1</t>
  </si>
  <si>
    <t>2.8.1.1</t>
  </si>
  <si>
    <t>2.10.1.1</t>
  </si>
  <si>
    <t>2.11.1.1</t>
  </si>
  <si>
    <t>2.12.1.1</t>
  </si>
  <si>
    <t>2.13.1.1</t>
  </si>
  <si>
    <t>2.14.1.1</t>
  </si>
  <si>
    <t>Итого по Кредиты</t>
  </si>
  <si>
    <t>Итого по Аутсорсинг. Консульт., эксперты, внешт. сотрудники</t>
  </si>
  <si>
    <t>Итого по Услуги юристов</t>
  </si>
  <si>
    <t>Итого по Реклама</t>
  </si>
  <si>
    <t>Итого по С/х земли</t>
  </si>
  <si>
    <t>Итого по Рождественно (оформление насл.)</t>
  </si>
  <si>
    <t>Итого по ПРОЧЕЕ</t>
  </si>
  <si>
    <t>Прочее АВТО</t>
  </si>
  <si>
    <t xml:space="preserve">  Связь и Интернет</t>
  </si>
  <si>
    <t xml:space="preserve">  Ремонт и обслуживание К.42</t>
  </si>
  <si>
    <t xml:space="preserve">  Ремонт и обслуживание рынка</t>
  </si>
  <si>
    <t xml:space="preserve">  Транспортные (офис)</t>
  </si>
  <si>
    <t xml:space="preserve">  Расчетно-кассовое обсл. и К-плюс</t>
  </si>
  <si>
    <t xml:space="preserve">  Офисные расходы</t>
  </si>
  <si>
    <t>+</t>
  </si>
  <si>
    <t>Оборудование  для продажи вод.</t>
  </si>
  <si>
    <t>Внедрение Asterix/ПО</t>
  </si>
  <si>
    <t>Str ТД (новая)</t>
  </si>
  <si>
    <t>ВНУТРЕННИЙ ЛИЗИНГ</t>
  </si>
  <si>
    <t>Продажа КЭБов</t>
  </si>
  <si>
    <t>Внутренний лизинг</t>
  </si>
  <si>
    <t>Автомойка</t>
  </si>
  <si>
    <t>Обклейка</t>
  </si>
  <si>
    <t>Оборудование для продажи водителям</t>
  </si>
  <si>
    <t>Раш-дисплей/навгаторы</t>
  </si>
  <si>
    <t xml:space="preserve">  Авансы по страховым случаям при ДТП</t>
  </si>
  <si>
    <t>Доходы;;1</t>
  </si>
  <si>
    <t>Выручка;Доходы;2</t>
  </si>
  <si>
    <t>ВНУТРЕННИЙ ЛИЗИНГ;Доходы;2</t>
  </si>
  <si>
    <t>Продажа КЭБов;ВНУТРЕННИЙ ЛИЗИНГ;3</t>
  </si>
  <si>
    <t>Продажа пассивов/Форды;ВНУТРЕННИЙ ЛИЗИНГ;3</t>
  </si>
  <si>
    <t>Продажа пассивов/Прочие;Доходы;2</t>
  </si>
  <si>
    <t>Оборудование для продажи водителям;Доходы;2</t>
  </si>
  <si>
    <t>Расходы;;1</t>
  </si>
  <si>
    <t>Имущество,Капит. влож. Инвестиции;Расходы;2</t>
  </si>
  <si>
    <t>ТД;Имущество,Капит. влож. Инвестиции;3</t>
  </si>
  <si>
    <t>Онлайн/G-PS;ТД;4</t>
  </si>
  <si>
    <t>Лицензирование, новые правила;ТД;4</t>
  </si>
  <si>
    <t>Внутренний лизинг;ТД;4</t>
  </si>
  <si>
    <t>Оборудование  для продажи вод.;ТД;4</t>
  </si>
  <si>
    <t>Внедрение Asterix/ПО;Имущество,Капит. влож. Инвестиции;3</t>
  </si>
  <si>
    <t>Авто-Тех-Центр;Имущество,Капит. влож. Инвестиции;3</t>
  </si>
  <si>
    <t>Автомойка;Имущество,Капит. влож. Инвестиции;3</t>
  </si>
  <si>
    <t>Str ТД (новая);Имущество,Капит. влож. Инвестиции;3</t>
  </si>
  <si>
    <t>Обклейка;Имущество,Капит. влож. Инвестиции;3</t>
  </si>
  <si>
    <t>Раш-дисплей/навгаторы;Имущество,Капит. влож. Инвестиции;3</t>
  </si>
  <si>
    <t>Имущество;Имущество,Капит. влож. Инвестиции;3</t>
  </si>
  <si>
    <t>Юр.лица;Расходы;2</t>
  </si>
  <si>
    <t>Персонал;Расходы;2</t>
  </si>
  <si>
    <t>Зар. Плата, налоги с ФОТ(ПФ, НДФЛ, ЕСН, травм.);Персонал;3</t>
  </si>
  <si>
    <t>ФМС;Персонал;3</t>
  </si>
  <si>
    <t>Налоги,пени(кроме с ФОТ) и рентные платежи;Расходы;2</t>
  </si>
  <si>
    <t>Текущие и  Эксплуатационные расходы;Расходы;2</t>
  </si>
  <si>
    <t>Связь и Интернет;Текущие и  Эксплуатационные расходы;3</t>
  </si>
  <si>
    <t>Ремонт и обслуживание К.42;Текущие и  Эксплуатационные расходы;3</t>
  </si>
  <si>
    <t>Транспортные (офис);Текущие и  Эксплуатационные расходы;3</t>
  </si>
  <si>
    <t>Офисные расходы;Текущие и  Эксплуатационные расходы;3</t>
  </si>
  <si>
    <t>Ремонт и обслуживание рынка;Текущие и  Эксплуатационные расходы;3</t>
  </si>
  <si>
    <t>Расчетно-кассовое обсл. и К-плюс;Текущие и  Эксплуатационные расходы;3</t>
  </si>
  <si>
    <t>Кредиты;Расходы;2</t>
  </si>
  <si>
    <t>Аутсорсинг. Консульт., эксперты, внешт. сотрудники;Расходы;2</t>
  </si>
  <si>
    <t>АВТО;Расходы;2</t>
  </si>
  <si>
    <t>Рено 1;АВТО;3</t>
  </si>
  <si>
    <t>Рено 2;АВТО;3</t>
  </si>
  <si>
    <t>Форды;АВТО;3</t>
  </si>
  <si>
    <t>Авансы по страховым случаям при ДТП;АВТО;3</t>
  </si>
  <si>
    <t>Прочее АВТО;АВТО;3</t>
  </si>
  <si>
    <t>Услуги юристов;Расходы;2</t>
  </si>
  <si>
    <t>ПРОЧЕЕ;Расходы;2</t>
  </si>
  <si>
    <t xml:space="preserve">  Прочее текущие расходы</t>
  </si>
  <si>
    <t>Прочее текущие расходы;Текущие и  Эксплуатационные расходы;3</t>
  </si>
  <si>
    <t xml:space="preserve">  Прочее персонал</t>
  </si>
  <si>
    <t>Прочее персонал;Персонал;3</t>
  </si>
  <si>
    <t>М и П. Реклама и продвижение;Расходы;2</t>
  </si>
  <si>
    <t>ТКЛ (текущие расходы);Расходы;2</t>
  </si>
  <si>
    <t>Текущие расходы ТКЛ;ТКЛ (текущие расходы);3</t>
  </si>
  <si>
    <t>Продажа пассива ТКЛ;ТКЛ (текущие расходы);3</t>
  </si>
  <si>
    <t>Рождественно (оформление);Расходы;2</t>
  </si>
  <si>
    <t>Текущие расходы ТКЛ</t>
  </si>
  <si>
    <t>Продажа пассива ТКЛ</t>
  </si>
  <si>
    <t>Текущие расходы Рожд.</t>
  </si>
  <si>
    <t>МиП перед водителем</t>
  </si>
  <si>
    <t>МиП перед клиентом</t>
  </si>
  <si>
    <t>Клиент&amp;водитель</t>
  </si>
  <si>
    <t>Прочее МИП</t>
  </si>
  <si>
    <t>М и П. Реклама и продвижение</t>
  </si>
  <si>
    <t>МиП перед водителем;М и П. Реклама и продвижение;3</t>
  </si>
  <si>
    <t>МиП перед клиентом;М и П. Реклама и продвижение;3</t>
  </si>
  <si>
    <t>Клиент&amp;водитель;М и П. Реклама и продвижение;3</t>
  </si>
  <si>
    <t>Прочее МИП;М и П. Реклама и продвижение;3</t>
  </si>
  <si>
    <t>Рождественно (оформление)</t>
  </si>
  <si>
    <t>Текущие расходы Рожд.;Рождественно (оформление);3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</si>
</sst>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8"/>
      <name val="Arial"/>
      <family val="2"/>
      <charset val="204"/>
    </font>
    <font>
      <b/>
      <sz val="9"/>
      <name val="Arial"/>
      <family val="2"/>
      <charset val="204"/>
    </font>
    <font>
      <b/>
      <sz val="8"/>
      <name val="Arial"/>
      <family val="2"/>
      <charset val="204"/>
    </font>
    <font>
      <b/>
      <sz val="7"/>
      <name val="Arial"/>
      <family val="2"/>
      <charset val="204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0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horizontal="left"/>
    </xf>
    <xf numFmtId="0" fontId="6" fillId="0" borderId="0"/>
    <xf numFmtId="0" fontId="6" fillId="0" borderId="0"/>
    <xf numFmtId="0" fontId="6" fillId="0" borderId="0"/>
    <xf numFmtId="0" fontId="5" fillId="0" borderId="0">
      <alignment horizontal="left"/>
    </xf>
  </cellStyleXfs>
  <cellXfs count="39">
    <xf numFmtId="0" fontId="0" fillId="0" borderId="0" xfId="0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/>
    <xf numFmtId="0" fontId="3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4" fontId="3" fillId="0" borderId="1" xfId="0" applyNumberFormat="1" applyFont="1" applyBorder="1" applyAlignment="1">
      <alignment horizontal="right" vertical="top" wrapText="1"/>
    </xf>
    <xf numFmtId="2" fontId="3" fillId="0" borderId="1" xfId="0" applyNumberFormat="1" applyFont="1" applyBorder="1" applyAlignment="1">
      <alignment horizontal="right" vertical="top" wrapText="1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/>
    <xf numFmtId="49" fontId="0" fillId="0" borderId="0" xfId="0" applyNumberFormat="1" applyBorder="1" applyAlignment="1"/>
    <xf numFmtId="0" fontId="3" fillId="0" borderId="0" xfId="0" applyFont="1" applyBorder="1" applyAlignment="1">
      <alignment vertical="top"/>
    </xf>
    <xf numFmtId="0" fontId="0" fillId="0" borderId="0" xfId="0" applyBorder="1" applyAlignment="1"/>
    <xf numFmtId="49" fontId="0" fillId="0" borderId="0" xfId="0" applyNumberFormat="1" applyAlignment="1">
      <alignment horizontal="left"/>
    </xf>
    <xf numFmtId="0" fontId="3" fillId="0" borderId="2" xfId="0" applyFont="1" applyBorder="1" applyAlignment="1">
      <alignment vertical="top"/>
    </xf>
    <xf numFmtId="0" fontId="0" fillId="0" borderId="3" xfId="0" applyBorder="1" applyAlignment="1"/>
    <xf numFmtId="0" fontId="0" fillId="2" borderId="0" xfId="0" applyFill="1" applyAlignment="1"/>
    <xf numFmtId="0" fontId="2" fillId="0" borderId="1" xfId="0" applyFont="1" applyBorder="1" applyAlignment="1"/>
    <xf numFmtId="49" fontId="0" fillId="3" borderId="1" xfId="0" applyNumberFormat="1" applyFill="1" applyBorder="1" applyAlignment="1"/>
    <xf numFmtId="0" fontId="0" fillId="3" borderId="1" xfId="0" applyFill="1" applyBorder="1" applyAlignment="1"/>
    <xf numFmtId="0" fontId="0" fillId="4" borderId="1" xfId="0" applyFill="1" applyBorder="1" applyAlignment="1"/>
    <xf numFmtId="49" fontId="0" fillId="4" borderId="1" xfId="0" applyNumberFormat="1" applyFill="1" applyBorder="1" applyAlignment="1"/>
    <xf numFmtId="0" fontId="0" fillId="5" borderId="1" xfId="0" applyFill="1" applyBorder="1" applyAlignment="1"/>
    <xf numFmtId="49" fontId="0" fillId="5" borderId="1" xfId="0" applyNumberFormat="1" applyFill="1" applyBorder="1" applyAlignment="1"/>
    <xf numFmtId="0" fontId="0" fillId="6" borderId="1" xfId="0" applyFill="1" applyBorder="1" applyAlignment="1"/>
    <xf numFmtId="0" fontId="0" fillId="0" borderId="0" xfId="0" applyAlignment="1"/>
    <xf numFmtId="0" fontId="4" fillId="0" borderId="0" xfId="0" applyFont="1" applyAlignment="1"/>
    <xf numFmtId="0" fontId="4" fillId="0" borderId="0" xfId="0" applyFont="1" applyFill="1" applyAlignment="1"/>
    <xf numFmtId="0" fontId="0" fillId="0" borderId="0" xfId="0" applyFill="1" applyAlignment="1"/>
    <xf numFmtId="0" fontId="3" fillId="0" borderId="1" xfId="0" applyFont="1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3" xfId="0" applyBorder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5">
    <cellStyle name="Normal" xfId="0" builtinId="0"/>
    <cellStyle name="Обычный 2" xfId="3"/>
    <cellStyle name="Обычный 3" xfId="2"/>
    <cellStyle name="Обычный 4" xfId="4"/>
    <cellStyle name="Обычный 5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E285"/>
  <sheetViews>
    <sheetView topLeftCell="A236" workbookViewId="0">
      <selection activeCell="K256" sqref="K256"/>
    </sheetView>
  </sheetViews>
  <sheetFormatPr defaultRowHeight="11.25" x14ac:dyDescent="0.2"/>
  <cols>
    <col min="3" max="3" width="60.5" bestFit="1" customWidth="1"/>
    <col min="5" max="5" width="12.83203125" bestFit="1" customWidth="1"/>
  </cols>
  <sheetData>
    <row r="1" spans="2:5" x14ac:dyDescent="0.2">
      <c r="C1" t="s">
        <v>339</v>
      </c>
    </row>
    <row r="3" spans="2:5" x14ac:dyDescent="0.2">
      <c r="B3" t="s">
        <v>340</v>
      </c>
      <c r="C3" t="s">
        <v>341</v>
      </c>
    </row>
    <row r="5" spans="2:5" x14ac:dyDescent="0.2">
      <c r="D5" t="s">
        <v>333</v>
      </c>
    </row>
    <row r="7" spans="2:5" x14ac:dyDescent="0.2">
      <c r="B7" t="s">
        <v>335</v>
      </c>
    </row>
    <row r="8" spans="2:5" x14ac:dyDescent="0.2">
      <c r="C8" t="s">
        <v>12</v>
      </c>
      <c r="D8">
        <v>1570346</v>
      </c>
      <c r="E8">
        <v>18272090</v>
      </c>
    </row>
    <row r="9" spans="2:5" x14ac:dyDescent="0.2">
      <c r="C9" t="s">
        <v>14</v>
      </c>
      <c r="D9">
        <v>1461670</v>
      </c>
      <c r="E9">
        <v>2851288</v>
      </c>
    </row>
    <row r="10" spans="2:5" x14ac:dyDescent="0.2">
      <c r="C10" t="s">
        <v>16</v>
      </c>
      <c r="D10">
        <v>479100</v>
      </c>
      <c r="E10">
        <v>5881250</v>
      </c>
    </row>
    <row r="11" spans="2:5" x14ac:dyDescent="0.2">
      <c r="C11" t="s">
        <v>18</v>
      </c>
      <c r="D11">
        <v>307700</v>
      </c>
      <c r="E11">
        <v>4339000</v>
      </c>
    </row>
    <row r="12" spans="2:5" x14ac:dyDescent="0.2">
      <c r="C12" t="s">
        <v>20</v>
      </c>
      <c r="D12">
        <v>100000</v>
      </c>
      <c r="E12">
        <v>1180000</v>
      </c>
    </row>
    <row r="13" spans="2:5" x14ac:dyDescent="0.2">
      <c r="C13" t="s">
        <v>22</v>
      </c>
      <c r="D13">
        <v>49575</v>
      </c>
      <c r="E13">
        <v>542852</v>
      </c>
    </row>
    <row r="14" spans="2:5" x14ac:dyDescent="0.2">
      <c r="C14" t="s">
        <v>24</v>
      </c>
      <c r="D14">
        <v>43900</v>
      </c>
      <c r="E14">
        <v>675970</v>
      </c>
    </row>
    <row r="15" spans="2:5" x14ac:dyDescent="0.2">
      <c r="C15" t="s">
        <v>26</v>
      </c>
      <c r="D15">
        <v>33800</v>
      </c>
      <c r="E15">
        <v>306800</v>
      </c>
    </row>
    <row r="16" spans="2:5" x14ac:dyDescent="0.2">
      <c r="C16" t="s">
        <v>28</v>
      </c>
      <c r="D16">
        <v>25300</v>
      </c>
      <c r="E16">
        <v>831300</v>
      </c>
    </row>
    <row r="17" spans="2:5" x14ac:dyDescent="0.2">
      <c r="C17" t="s">
        <v>30</v>
      </c>
      <c r="D17">
        <v>19550</v>
      </c>
      <c r="E17">
        <v>218550</v>
      </c>
    </row>
    <row r="18" spans="2:5" x14ac:dyDescent="0.2">
      <c r="C18" t="s">
        <v>32</v>
      </c>
      <c r="D18">
        <v>19444</v>
      </c>
      <c r="E18">
        <v>300040</v>
      </c>
    </row>
    <row r="19" spans="2:5" x14ac:dyDescent="0.2">
      <c r="C19" t="s">
        <v>34</v>
      </c>
      <c r="D19">
        <v>15240</v>
      </c>
      <c r="E19">
        <v>140576</v>
      </c>
    </row>
    <row r="20" spans="2:5" x14ac:dyDescent="0.2">
      <c r="C20" t="s">
        <v>36</v>
      </c>
      <c r="D20">
        <v>3275</v>
      </c>
      <c r="E20">
        <v>59845</v>
      </c>
    </row>
    <row r="21" spans="2:5" x14ac:dyDescent="0.2">
      <c r="C21" t="s">
        <v>38</v>
      </c>
      <c r="D21">
        <v>340</v>
      </c>
      <c r="E21">
        <v>9763</v>
      </c>
    </row>
    <row r="22" spans="2:5" x14ac:dyDescent="0.2">
      <c r="C22" t="s">
        <v>40</v>
      </c>
      <c r="D22" t="s">
        <v>10</v>
      </c>
      <c r="E22">
        <v>306893.75</v>
      </c>
    </row>
    <row r="23" spans="2:5" x14ac:dyDescent="0.2">
      <c r="C23" t="s">
        <v>42</v>
      </c>
      <c r="D23" t="s">
        <v>10</v>
      </c>
      <c r="E23">
        <v>14000</v>
      </c>
    </row>
    <row r="24" spans="2:5" x14ac:dyDescent="0.2">
      <c r="C24" t="s">
        <v>44</v>
      </c>
      <c r="D24" t="s">
        <v>10</v>
      </c>
      <c r="E24">
        <v>147362</v>
      </c>
    </row>
    <row r="25" spans="2:5" x14ac:dyDescent="0.2">
      <c r="C25" t="s">
        <v>46</v>
      </c>
      <c r="D25" t="s">
        <v>10</v>
      </c>
      <c r="E25">
        <v>88000</v>
      </c>
    </row>
    <row r="26" spans="2:5" x14ac:dyDescent="0.2">
      <c r="B26" t="s">
        <v>402</v>
      </c>
      <c r="D26">
        <f>SUM(D$8:D$25)</f>
        <v>4129240</v>
      </c>
      <c r="E26">
        <f>SUM(E$8:E$25)</f>
        <v>36165579.75</v>
      </c>
    </row>
    <row r="28" spans="2:5" x14ac:dyDescent="0.2">
      <c r="B28" t="s">
        <v>336</v>
      </c>
    </row>
    <row r="29" spans="2:5" x14ac:dyDescent="0.2">
      <c r="C29" t="s">
        <v>49</v>
      </c>
      <c r="D29">
        <v>20000</v>
      </c>
      <c r="E29">
        <v>140000</v>
      </c>
    </row>
    <row r="30" spans="2:5" x14ac:dyDescent="0.2">
      <c r="C30" t="s">
        <v>50</v>
      </c>
      <c r="D30">
        <v>20000</v>
      </c>
      <c r="E30">
        <v>30000</v>
      </c>
    </row>
    <row r="31" spans="2:5" x14ac:dyDescent="0.2">
      <c r="C31" t="s">
        <v>51</v>
      </c>
      <c r="D31">
        <v>20000</v>
      </c>
      <c r="E31">
        <v>130000</v>
      </c>
    </row>
    <row r="32" spans="2:5" x14ac:dyDescent="0.2">
      <c r="C32" t="s">
        <v>52</v>
      </c>
      <c r="D32">
        <v>20000</v>
      </c>
      <c r="E32">
        <v>140000</v>
      </c>
    </row>
    <row r="33" spans="3:5" x14ac:dyDescent="0.2">
      <c r="C33" t="s">
        <v>53</v>
      </c>
      <c r="D33">
        <v>20000</v>
      </c>
      <c r="E33">
        <v>25000</v>
      </c>
    </row>
    <row r="34" spans="3:5" x14ac:dyDescent="0.2">
      <c r="C34" t="s">
        <v>54</v>
      </c>
      <c r="D34">
        <v>20000</v>
      </c>
      <c r="E34">
        <v>130000</v>
      </c>
    </row>
    <row r="35" spans="3:5" x14ac:dyDescent="0.2">
      <c r="C35" t="s">
        <v>55</v>
      </c>
      <c r="D35">
        <v>20000</v>
      </c>
      <c r="E35">
        <v>110000</v>
      </c>
    </row>
    <row r="36" spans="3:5" x14ac:dyDescent="0.2">
      <c r="C36" t="s">
        <v>56</v>
      </c>
      <c r="D36">
        <v>20000</v>
      </c>
      <c r="E36">
        <v>130000</v>
      </c>
    </row>
    <row r="37" spans="3:5" x14ac:dyDescent="0.2">
      <c r="C37" t="s">
        <v>57</v>
      </c>
      <c r="D37">
        <v>20000</v>
      </c>
      <c r="E37">
        <v>105000</v>
      </c>
    </row>
    <row r="38" spans="3:5" x14ac:dyDescent="0.2">
      <c r="C38" t="s">
        <v>58</v>
      </c>
      <c r="D38">
        <v>20000</v>
      </c>
      <c r="E38">
        <v>140000</v>
      </c>
    </row>
    <row r="39" spans="3:5" x14ac:dyDescent="0.2">
      <c r="C39" t="s">
        <v>59</v>
      </c>
      <c r="D39">
        <v>20000</v>
      </c>
      <c r="E39">
        <v>185000</v>
      </c>
    </row>
    <row r="40" spans="3:5" x14ac:dyDescent="0.2">
      <c r="C40" t="s">
        <v>60</v>
      </c>
      <c r="D40">
        <v>20000</v>
      </c>
      <c r="E40">
        <v>140000</v>
      </c>
    </row>
    <row r="41" spans="3:5" x14ac:dyDescent="0.2">
      <c r="C41" t="s">
        <v>61</v>
      </c>
      <c r="D41">
        <v>20000</v>
      </c>
      <c r="E41">
        <v>20000</v>
      </c>
    </row>
    <row r="42" spans="3:5" x14ac:dyDescent="0.2">
      <c r="C42" t="s">
        <v>62</v>
      </c>
      <c r="D42">
        <v>20000</v>
      </c>
      <c r="E42">
        <v>215000</v>
      </c>
    </row>
    <row r="43" spans="3:5" x14ac:dyDescent="0.2">
      <c r="C43" t="s">
        <v>63</v>
      </c>
      <c r="D43">
        <v>15000</v>
      </c>
      <c r="E43">
        <v>65000</v>
      </c>
    </row>
    <row r="44" spans="3:5" x14ac:dyDescent="0.2">
      <c r="C44" t="s">
        <v>64</v>
      </c>
      <c r="D44">
        <v>15000</v>
      </c>
      <c r="E44">
        <v>215000</v>
      </c>
    </row>
    <row r="45" spans="3:5" x14ac:dyDescent="0.2">
      <c r="C45" t="s">
        <v>65</v>
      </c>
      <c r="D45">
        <v>15000</v>
      </c>
      <c r="E45">
        <v>165000</v>
      </c>
    </row>
    <row r="46" spans="3:5" x14ac:dyDescent="0.2">
      <c r="C46" t="s">
        <v>66</v>
      </c>
      <c r="D46">
        <v>10000</v>
      </c>
      <c r="E46">
        <v>130000</v>
      </c>
    </row>
    <row r="47" spans="3:5" x14ac:dyDescent="0.2">
      <c r="C47" t="s">
        <v>68</v>
      </c>
      <c r="D47" t="s">
        <v>10</v>
      </c>
      <c r="E47">
        <v>39000</v>
      </c>
    </row>
    <row r="48" spans="3:5" x14ac:dyDescent="0.2">
      <c r="C48" t="s">
        <v>70</v>
      </c>
      <c r="D48" t="s">
        <v>10</v>
      </c>
      <c r="E48">
        <v>270000</v>
      </c>
    </row>
    <row r="49" spans="2:5" x14ac:dyDescent="0.2">
      <c r="B49" t="s">
        <v>403</v>
      </c>
      <c r="D49">
        <f>SUM(D$29:D$48)</f>
        <v>335000</v>
      </c>
      <c r="E49">
        <f>SUM(E$29:E$48)</f>
        <v>2524000</v>
      </c>
    </row>
    <row r="51" spans="2:5" x14ac:dyDescent="0.2">
      <c r="B51" t="s">
        <v>337</v>
      </c>
    </row>
    <row r="52" spans="2:5" x14ac:dyDescent="0.2">
      <c r="C52" t="s">
        <v>73</v>
      </c>
      <c r="D52">
        <v>179000</v>
      </c>
      <c r="E52">
        <v>179000</v>
      </c>
    </row>
    <row r="53" spans="2:5" x14ac:dyDescent="0.2">
      <c r="C53" t="s">
        <v>74</v>
      </c>
      <c r="D53" t="s">
        <v>10</v>
      </c>
      <c r="E53">
        <v>850000</v>
      </c>
    </row>
    <row r="54" spans="2:5" x14ac:dyDescent="0.2">
      <c r="C54" t="s">
        <v>75</v>
      </c>
      <c r="D54" t="s">
        <v>10</v>
      </c>
      <c r="E54">
        <v>4500000</v>
      </c>
    </row>
    <row r="55" spans="2:5" x14ac:dyDescent="0.2">
      <c r="C55" t="s">
        <v>76</v>
      </c>
      <c r="D55" t="s">
        <v>10</v>
      </c>
      <c r="E55">
        <v>10000</v>
      </c>
    </row>
    <row r="56" spans="2:5" x14ac:dyDescent="0.2">
      <c r="B56" t="s">
        <v>404</v>
      </c>
      <c r="D56">
        <f>SUM(D$52:D$55)</f>
        <v>179000</v>
      </c>
      <c r="E56">
        <f>SUM(E$52:E$55)</f>
        <v>5539000</v>
      </c>
    </row>
    <row r="58" spans="2:5" x14ac:dyDescent="0.2">
      <c r="B58" t="s">
        <v>405</v>
      </c>
      <c r="D58">
        <f>SUM(D$26,D$49,D$56)</f>
        <v>4643240</v>
      </c>
      <c r="E58">
        <f>SUM(E$26,E$49,E$56)</f>
        <v>44228579.75</v>
      </c>
    </row>
    <row r="60" spans="2:5" x14ac:dyDescent="0.2">
      <c r="D60" t="s">
        <v>338</v>
      </c>
    </row>
    <row r="62" spans="2:5" x14ac:dyDescent="0.2">
      <c r="B62" t="s">
        <v>411</v>
      </c>
    </row>
    <row r="63" spans="2:5" x14ac:dyDescent="0.2">
      <c r="B63" t="s">
        <v>414</v>
      </c>
    </row>
    <row r="64" spans="2:5" x14ac:dyDescent="0.2">
      <c r="B64" t="s">
        <v>345</v>
      </c>
    </row>
    <row r="65" spans="2:5" x14ac:dyDescent="0.2">
      <c r="C65" t="s">
        <v>79</v>
      </c>
      <c r="D65">
        <v>-41450</v>
      </c>
      <c r="E65">
        <v>-322164</v>
      </c>
    </row>
    <row r="66" spans="2:5" x14ac:dyDescent="0.2">
      <c r="C66" t="s">
        <v>80</v>
      </c>
      <c r="D66" t="s">
        <v>10</v>
      </c>
      <c r="E66">
        <v>-184850</v>
      </c>
    </row>
    <row r="67" spans="2:5" x14ac:dyDescent="0.2">
      <c r="B67" t="s">
        <v>426</v>
      </c>
      <c r="D67">
        <f>SUM(D$65:D$66)</f>
        <v>-41450</v>
      </c>
      <c r="E67">
        <f>SUM(E$65:E$66)</f>
        <v>-507014</v>
      </c>
    </row>
    <row r="69" spans="2:5" x14ac:dyDescent="0.2">
      <c r="B69" t="s">
        <v>347</v>
      </c>
    </row>
    <row r="70" spans="2:5" x14ac:dyDescent="0.2">
      <c r="C70" t="s">
        <v>83</v>
      </c>
      <c r="D70">
        <v>-15100</v>
      </c>
      <c r="E70">
        <v>-114500</v>
      </c>
    </row>
    <row r="71" spans="2:5" x14ac:dyDescent="0.2">
      <c r="C71" t="s">
        <v>84</v>
      </c>
      <c r="D71">
        <v>-8850</v>
      </c>
      <c r="E71">
        <v>-19411</v>
      </c>
    </row>
    <row r="72" spans="2:5" x14ac:dyDescent="0.2">
      <c r="C72" t="s">
        <v>85</v>
      </c>
      <c r="D72" t="s">
        <v>10</v>
      </c>
      <c r="E72">
        <v>-4000</v>
      </c>
    </row>
    <row r="73" spans="2:5" x14ac:dyDescent="0.2">
      <c r="C73" t="s">
        <v>86</v>
      </c>
      <c r="D73" t="s">
        <v>10</v>
      </c>
      <c r="E73">
        <v>-16499</v>
      </c>
    </row>
    <row r="74" spans="2:5" x14ac:dyDescent="0.2">
      <c r="C74" t="s">
        <v>87</v>
      </c>
      <c r="D74" t="s">
        <v>10</v>
      </c>
      <c r="E74">
        <v>-57974.87</v>
      </c>
    </row>
    <row r="75" spans="2:5" x14ac:dyDescent="0.2">
      <c r="C75" t="s">
        <v>36</v>
      </c>
      <c r="D75" t="s">
        <v>10</v>
      </c>
      <c r="E75">
        <v>-50400</v>
      </c>
    </row>
    <row r="76" spans="2:5" x14ac:dyDescent="0.2">
      <c r="C76" t="s">
        <v>88</v>
      </c>
      <c r="D76" t="s">
        <v>10</v>
      </c>
      <c r="E76">
        <v>-720090</v>
      </c>
    </row>
    <row r="77" spans="2:5" x14ac:dyDescent="0.2">
      <c r="C77" t="s">
        <v>89</v>
      </c>
      <c r="D77" t="s">
        <v>10</v>
      </c>
      <c r="E77">
        <v>-12000</v>
      </c>
    </row>
    <row r="78" spans="2:5" x14ac:dyDescent="0.2">
      <c r="C78" t="s">
        <v>90</v>
      </c>
      <c r="D78" t="s">
        <v>10</v>
      </c>
      <c r="E78">
        <v>-1000</v>
      </c>
    </row>
    <row r="79" spans="2:5" x14ac:dyDescent="0.2">
      <c r="C79" t="s">
        <v>91</v>
      </c>
      <c r="D79" t="s">
        <v>10</v>
      </c>
      <c r="E79">
        <v>-1320</v>
      </c>
    </row>
    <row r="80" spans="2:5" x14ac:dyDescent="0.2">
      <c r="C80" t="s">
        <v>92</v>
      </c>
      <c r="D80" t="s">
        <v>10</v>
      </c>
      <c r="E80">
        <v>-2605</v>
      </c>
    </row>
    <row r="81" spans="2:5" x14ac:dyDescent="0.2">
      <c r="C81" t="s">
        <v>93</v>
      </c>
      <c r="D81" t="s">
        <v>10</v>
      </c>
      <c r="E81">
        <v>-15000</v>
      </c>
    </row>
    <row r="82" spans="2:5" x14ac:dyDescent="0.2">
      <c r="C82" t="s">
        <v>94</v>
      </c>
      <c r="D82" t="s">
        <v>10</v>
      </c>
      <c r="E82">
        <v>-16500</v>
      </c>
    </row>
    <row r="83" spans="2:5" x14ac:dyDescent="0.2">
      <c r="B83" t="s">
        <v>427</v>
      </c>
      <c r="D83">
        <f>SUM(D$70:D$82)</f>
        <v>-23950</v>
      </c>
      <c r="E83">
        <f>SUM(E$70:E$82)</f>
        <v>-1031299.87</v>
      </c>
    </row>
    <row r="85" spans="2:5" x14ac:dyDescent="0.2">
      <c r="B85" t="s">
        <v>351</v>
      </c>
    </row>
    <row r="86" spans="2:5" x14ac:dyDescent="0.2">
      <c r="C86" t="s">
        <v>80</v>
      </c>
      <c r="D86">
        <v>-154100</v>
      </c>
      <c r="E86">
        <v>-230000</v>
      </c>
    </row>
    <row r="87" spans="2:5" x14ac:dyDescent="0.2">
      <c r="C87" t="s">
        <v>100</v>
      </c>
      <c r="D87">
        <v>-1471</v>
      </c>
      <c r="E87">
        <v>-136021</v>
      </c>
    </row>
    <row r="88" spans="2:5" x14ac:dyDescent="0.2">
      <c r="C88" t="s">
        <v>101</v>
      </c>
      <c r="D88" t="s">
        <v>10</v>
      </c>
      <c r="E88">
        <v>-10000</v>
      </c>
    </row>
    <row r="89" spans="2:5" x14ac:dyDescent="0.2">
      <c r="C89" t="s">
        <v>102</v>
      </c>
      <c r="D89" t="s">
        <v>10</v>
      </c>
      <c r="E89">
        <v>-31522</v>
      </c>
    </row>
    <row r="90" spans="2:5" x14ac:dyDescent="0.2">
      <c r="B90" t="s">
        <v>428</v>
      </c>
      <c r="D90">
        <f>SUM(D$86:D$89)</f>
        <v>-155571</v>
      </c>
      <c r="E90">
        <f>SUM(E$86:E$89)</f>
        <v>-407543</v>
      </c>
    </row>
    <row r="92" spans="2:5" x14ac:dyDescent="0.2">
      <c r="B92" t="s">
        <v>349</v>
      </c>
    </row>
    <row r="93" spans="2:5" x14ac:dyDescent="0.2">
      <c r="C93" t="s">
        <v>97</v>
      </c>
      <c r="D93">
        <v>-30900</v>
      </c>
      <c r="E93">
        <v>-322250</v>
      </c>
    </row>
    <row r="94" spans="2:5" x14ac:dyDescent="0.2">
      <c r="B94" t="s">
        <v>429</v>
      </c>
      <c r="D94">
        <f>SUM(D$93:D$93)</f>
        <v>-30900</v>
      </c>
      <c r="E94">
        <f>SUM(E$93:E$93)</f>
        <v>-322250</v>
      </c>
    </row>
    <row r="96" spans="2:5" x14ac:dyDescent="0.2">
      <c r="B96" t="s">
        <v>357</v>
      </c>
    </row>
    <row r="97" spans="2:5" x14ac:dyDescent="0.2">
      <c r="C97" t="s">
        <v>127</v>
      </c>
      <c r="D97" t="s">
        <v>10</v>
      </c>
      <c r="E97">
        <v>-1043797</v>
      </c>
    </row>
    <row r="98" spans="2:5" x14ac:dyDescent="0.2">
      <c r="C98" t="s">
        <v>128</v>
      </c>
      <c r="D98" t="s">
        <v>10</v>
      </c>
      <c r="E98">
        <v>-882779.1</v>
      </c>
    </row>
    <row r="99" spans="2:5" x14ac:dyDescent="0.2">
      <c r="C99" t="s">
        <v>129</v>
      </c>
      <c r="D99" t="s">
        <v>10</v>
      </c>
      <c r="E99">
        <v>-659443.74</v>
      </c>
    </row>
    <row r="100" spans="2:5" x14ac:dyDescent="0.2">
      <c r="C100" t="s">
        <v>130</v>
      </c>
      <c r="D100" t="s">
        <v>10</v>
      </c>
      <c r="E100">
        <v>-660167.62</v>
      </c>
    </row>
    <row r="101" spans="2:5" x14ac:dyDescent="0.2">
      <c r="B101" t="s">
        <v>430</v>
      </c>
      <c r="D101">
        <f>SUM(D$97:D$100)</f>
        <v>0</v>
      </c>
      <c r="E101">
        <f>SUM(E$97:E$100)</f>
        <v>-3246187.46</v>
      </c>
    </row>
    <row r="103" spans="2:5" x14ac:dyDescent="0.2">
      <c r="B103" t="s">
        <v>353</v>
      </c>
    </row>
    <row r="104" spans="2:5" x14ac:dyDescent="0.2">
      <c r="C104" t="s">
        <v>105</v>
      </c>
      <c r="D104">
        <v>-45000</v>
      </c>
      <c r="E104">
        <v>-60062</v>
      </c>
    </row>
    <row r="105" spans="2:5" x14ac:dyDescent="0.2">
      <c r="C105" t="s">
        <v>106</v>
      </c>
      <c r="D105">
        <v>-27600</v>
      </c>
      <c r="E105">
        <v>-27600</v>
      </c>
    </row>
    <row r="106" spans="2:5" x14ac:dyDescent="0.2">
      <c r="C106" t="s">
        <v>107</v>
      </c>
      <c r="D106">
        <v>-570</v>
      </c>
      <c r="E106">
        <v>-6343.48</v>
      </c>
    </row>
    <row r="107" spans="2:5" x14ac:dyDescent="0.2">
      <c r="C107" t="s">
        <v>108</v>
      </c>
      <c r="D107" t="s">
        <v>10</v>
      </c>
      <c r="E107">
        <v>-15560</v>
      </c>
    </row>
    <row r="108" spans="2:5" x14ac:dyDescent="0.2">
      <c r="C108" t="s">
        <v>109</v>
      </c>
      <c r="D108" t="s">
        <v>10</v>
      </c>
      <c r="E108">
        <v>-113480.45</v>
      </c>
    </row>
    <row r="109" spans="2:5" x14ac:dyDescent="0.2">
      <c r="C109" t="s">
        <v>110</v>
      </c>
      <c r="D109" t="s">
        <v>10</v>
      </c>
      <c r="E109">
        <v>-89500</v>
      </c>
    </row>
    <row r="110" spans="2:5" x14ac:dyDescent="0.2">
      <c r="C110" t="s">
        <v>111</v>
      </c>
      <c r="D110" t="s">
        <v>10</v>
      </c>
      <c r="E110">
        <v>-10550</v>
      </c>
    </row>
    <row r="111" spans="2:5" x14ac:dyDescent="0.2">
      <c r="C111" t="s">
        <v>112</v>
      </c>
      <c r="D111" t="s">
        <v>10</v>
      </c>
      <c r="E111">
        <v>-295771</v>
      </c>
    </row>
    <row r="112" spans="2:5" x14ac:dyDescent="0.2">
      <c r="C112" t="s">
        <v>113</v>
      </c>
      <c r="D112" t="s">
        <v>10</v>
      </c>
      <c r="E112">
        <v>-4500</v>
      </c>
    </row>
    <row r="113" spans="2:5" x14ac:dyDescent="0.2">
      <c r="C113" t="s">
        <v>114</v>
      </c>
      <c r="D113" t="s">
        <v>10</v>
      </c>
      <c r="E113">
        <v>-58176</v>
      </c>
    </row>
    <row r="114" spans="2:5" x14ac:dyDescent="0.2">
      <c r="C114" t="s">
        <v>115</v>
      </c>
      <c r="D114" t="s">
        <v>10</v>
      </c>
      <c r="E114">
        <v>-97500</v>
      </c>
    </row>
    <row r="115" spans="2:5" x14ac:dyDescent="0.2">
      <c r="C115" t="s">
        <v>116</v>
      </c>
      <c r="D115" t="s">
        <v>10</v>
      </c>
      <c r="E115">
        <v>-1520300</v>
      </c>
    </row>
    <row r="116" spans="2:5" x14ac:dyDescent="0.2">
      <c r="C116" t="s">
        <v>117</v>
      </c>
      <c r="D116" t="s">
        <v>10</v>
      </c>
      <c r="E116">
        <v>-7000</v>
      </c>
    </row>
    <row r="117" spans="2:5" x14ac:dyDescent="0.2">
      <c r="C117" t="s">
        <v>118</v>
      </c>
      <c r="D117" t="s">
        <v>10</v>
      </c>
      <c r="E117">
        <v>-35000</v>
      </c>
    </row>
    <row r="118" spans="2:5" x14ac:dyDescent="0.2">
      <c r="C118" t="s">
        <v>119</v>
      </c>
      <c r="D118" t="s">
        <v>10</v>
      </c>
      <c r="E118">
        <v>-35000</v>
      </c>
    </row>
    <row r="119" spans="2:5" x14ac:dyDescent="0.2">
      <c r="B119" t="s">
        <v>431</v>
      </c>
      <c r="D119">
        <f>SUM(D$104:D$118)</f>
        <v>-73170</v>
      </c>
      <c r="E119">
        <f>SUM(E$104:E$118)</f>
        <v>-2376342.9299999997</v>
      </c>
    </row>
    <row r="121" spans="2:5" x14ac:dyDescent="0.2">
      <c r="B121" t="s">
        <v>436</v>
      </c>
    </row>
    <row r="122" spans="2:5" x14ac:dyDescent="0.2">
      <c r="B122" t="s">
        <v>438</v>
      </c>
    </row>
    <row r="123" spans="2:5" x14ac:dyDescent="0.2">
      <c r="B123" t="s">
        <v>122</v>
      </c>
    </row>
    <row r="124" spans="2:5" x14ac:dyDescent="0.2">
      <c r="B124" t="s">
        <v>124</v>
      </c>
    </row>
    <row r="125" spans="2:5" x14ac:dyDescent="0.2">
      <c r="B125" t="s">
        <v>123</v>
      </c>
    </row>
    <row r="126" spans="2:5" x14ac:dyDescent="0.2">
      <c r="B126" t="s">
        <v>442</v>
      </c>
    </row>
    <row r="127" spans="2:5" x14ac:dyDescent="0.2">
      <c r="B127" t="s">
        <v>361</v>
      </c>
    </row>
    <row r="128" spans="2:5" x14ac:dyDescent="0.2">
      <c r="B128" t="s">
        <v>150</v>
      </c>
    </row>
    <row r="129" spans="2:5" x14ac:dyDescent="0.2">
      <c r="B129" t="s">
        <v>446</v>
      </c>
    </row>
    <row r="130" spans="2:5" x14ac:dyDescent="0.2">
      <c r="B130" t="s">
        <v>365</v>
      </c>
    </row>
    <row r="131" spans="2:5" x14ac:dyDescent="0.2">
      <c r="C131" t="s">
        <v>153</v>
      </c>
      <c r="D131">
        <v>-349900</v>
      </c>
      <c r="E131">
        <v>-3708543</v>
      </c>
    </row>
    <row r="132" spans="2:5" x14ac:dyDescent="0.2">
      <c r="C132" t="s">
        <v>154</v>
      </c>
      <c r="D132">
        <v>-79238.720000000001</v>
      </c>
      <c r="E132">
        <v>-401556.49</v>
      </c>
    </row>
    <row r="133" spans="2:5" x14ac:dyDescent="0.2">
      <c r="C133" t="s">
        <v>155</v>
      </c>
      <c r="D133">
        <v>-50000</v>
      </c>
      <c r="E133">
        <v>-600000</v>
      </c>
    </row>
    <row r="134" spans="2:5" x14ac:dyDescent="0.2">
      <c r="C134" t="s">
        <v>156</v>
      </c>
      <c r="D134">
        <v>-49927</v>
      </c>
      <c r="E134">
        <v>-337725.51</v>
      </c>
    </row>
    <row r="135" spans="2:5" x14ac:dyDescent="0.2">
      <c r="C135" t="s">
        <v>157</v>
      </c>
      <c r="D135">
        <v>-44900</v>
      </c>
      <c r="E135">
        <v>-529038</v>
      </c>
    </row>
    <row r="136" spans="2:5" x14ac:dyDescent="0.2">
      <c r="C136" t="s">
        <v>158</v>
      </c>
      <c r="D136">
        <v>-41572</v>
      </c>
      <c r="E136">
        <v>-481739</v>
      </c>
    </row>
    <row r="137" spans="2:5" x14ac:dyDescent="0.2">
      <c r="C137" t="s">
        <v>159</v>
      </c>
      <c r="D137">
        <v>-35265</v>
      </c>
      <c r="E137">
        <v>-473440.37</v>
      </c>
    </row>
    <row r="138" spans="2:5" x14ac:dyDescent="0.2">
      <c r="C138" t="s">
        <v>160</v>
      </c>
      <c r="D138">
        <v>-35000</v>
      </c>
      <c r="E138">
        <v>-383684</v>
      </c>
    </row>
    <row r="139" spans="2:5" x14ac:dyDescent="0.2">
      <c r="C139" t="s">
        <v>161</v>
      </c>
      <c r="D139">
        <v>-26064</v>
      </c>
      <c r="E139">
        <v>-74421</v>
      </c>
    </row>
    <row r="140" spans="2:5" x14ac:dyDescent="0.2">
      <c r="C140" t="s">
        <v>162</v>
      </c>
      <c r="D140">
        <v>-20725</v>
      </c>
      <c r="E140">
        <v>-243085</v>
      </c>
    </row>
    <row r="141" spans="2:5" x14ac:dyDescent="0.2">
      <c r="C141" t="s">
        <v>163</v>
      </c>
      <c r="D141">
        <v>-20125</v>
      </c>
      <c r="E141">
        <v>-241802</v>
      </c>
    </row>
    <row r="142" spans="2:5" x14ac:dyDescent="0.2">
      <c r="C142" t="s">
        <v>164</v>
      </c>
      <c r="D142">
        <v>-8800</v>
      </c>
      <c r="E142">
        <v>-50230</v>
      </c>
    </row>
    <row r="143" spans="2:5" x14ac:dyDescent="0.2">
      <c r="C143" t="s">
        <v>165</v>
      </c>
      <c r="D143">
        <v>-8500</v>
      </c>
      <c r="E143">
        <v>-100903</v>
      </c>
    </row>
    <row r="144" spans="2:5" x14ac:dyDescent="0.2">
      <c r="C144" t="s">
        <v>166</v>
      </c>
      <c r="D144">
        <v>-6000</v>
      </c>
      <c r="E144">
        <v>-63000</v>
      </c>
    </row>
    <row r="145" spans="2:5" x14ac:dyDescent="0.2">
      <c r="C145" t="s">
        <v>167</v>
      </c>
      <c r="D145" t="s">
        <v>10</v>
      </c>
      <c r="E145">
        <v>-125063</v>
      </c>
    </row>
    <row r="146" spans="2:5" x14ac:dyDescent="0.2">
      <c r="C146" t="s">
        <v>168</v>
      </c>
      <c r="D146" t="s">
        <v>10</v>
      </c>
      <c r="E146">
        <v>-24000</v>
      </c>
    </row>
    <row r="147" spans="2:5" x14ac:dyDescent="0.2">
      <c r="C147" t="s">
        <v>169</v>
      </c>
      <c r="D147" t="s">
        <v>10</v>
      </c>
      <c r="E147">
        <v>-15000</v>
      </c>
    </row>
    <row r="148" spans="2:5" x14ac:dyDescent="0.2">
      <c r="C148" t="s">
        <v>170</v>
      </c>
      <c r="D148" t="s">
        <v>10</v>
      </c>
      <c r="E148">
        <v>-16943</v>
      </c>
    </row>
    <row r="149" spans="2:5" x14ac:dyDescent="0.2">
      <c r="C149" t="s">
        <v>171</v>
      </c>
      <c r="D149" t="s">
        <v>10</v>
      </c>
      <c r="E149">
        <v>-145764</v>
      </c>
    </row>
    <row r="150" spans="2:5" x14ac:dyDescent="0.2">
      <c r="C150" t="s">
        <v>172</v>
      </c>
      <c r="D150" t="s">
        <v>10</v>
      </c>
      <c r="E150">
        <v>-27000</v>
      </c>
    </row>
    <row r="151" spans="2:5" x14ac:dyDescent="0.2">
      <c r="B151" t="s">
        <v>451</v>
      </c>
      <c r="D151">
        <f>SUM(D$131:D$150)</f>
        <v>-776016.72</v>
      </c>
      <c r="E151">
        <f>SUM(E$131:E$150)</f>
        <v>-8042937.3700000001</v>
      </c>
    </row>
    <row r="153" spans="2:5" x14ac:dyDescent="0.2">
      <c r="B153" t="s">
        <v>367</v>
      </c>
    </row>
    <row r="154" spans="2:5" x14ac:dyDescent="0.2">
      <c r="C154" t="s">
        <v>175</v>
      </c>
      <c r="D154">
        <v>-3280</v>
      </c>
      <c r="E154">
        <v>-30132</v>
      </c>
    </row>
    <row r="155" spans="2:5" x14ac:dyDescent="0.2">
      <c r="C155" t="s">
        <v>176</v>
      </c>
      <c r="D155">
        <v>-2400</v>
      </c>
      <c r="E155">
        <v>-34178</v>
      </c>
    </row>
    <row r="156" spans="2:5" x14ac:dyDescent="0.2">
      <c r="C156" t="s">
        <v>177</v>
      </c>
      <c r="D156" t="s">
        <v>10</v>
      </c>
      <c r="E156">
        <v>-1500</v>
      </c>
    </row>
    <row r="157" spans="2:5" x14ac:dyDescent="0.2">
      <c r="C157" t="s">
        <v>178</v>
      </c>
      <c r="D157" t="s">
        <v>10</v>
      </c>
      <c r="E157">
        <v>-30000</v>
      </c>
    </row>
    <row r="158" spans="2:5" x14ac:dyDescent="0.2">
      <c r="C158" t="s">
        <v>179</v>
      </c>
      <c r="D158" t="s">
        <v>10</v>
      </c>
      <c r="E158">
        <v>-22800</v>
      </c>
    </row>
    <row r="159" spans="2:5" x14ac:dyDescent="0.2">
      <c r="C159" t="s">
        <v>180</v>
      </c>
      <c r="D159" t="s">
        <v>10</v>
      </c>
      <c r="E159">
        <v>-27720</v>
      </c>
    </row>
    <row r="160" spans="2:5" x14ac:dyDescent="0.2">
      <c r="C160" t="s">
        <v>181</v>
      </c>
      <c r="D160" t="s">
        <v>10</v>
      </c>
      <c r="E160">
        <v>-32640</v>
      </c>
    </row>
    <row r="161" spans="2:5" x14ac:dyDescent="0.2">
      <c r="C161" t="s">
        <v>182</v>
      </c>
      <c r="D161" t="s">
        <v>10</v>
      </c>
      <c r="E161">
        <v>-2700</v>
      </c>
    </row>
    <row r="162" spans="2:5" x14ac:dyDescent="0.2">
      <c r="C162" t="s">
        <v>183</v>
      </c>
      <c r="D162" t="s">
        <v>10</v>
      </c>
      <c r="E162">
        <v>-13800</v>
      </c>
    </row>
    <row r="163" spans="2:5" x14ac:dyDescent="0.2">
      <c r="C163" t="s">
        <v>184</v>
      </c>
      <c r="D163" t="s">
        <v>10</v>
      </c>
      <c r="E163">
        <v>-14983</v>
      </c>
    </row>
    <row r="164" spans="2:5" x14ac:dyDescent="0.2">
      <c r="B164" t="s">
        <v>452</v>
      </c>
      <c r="D164">
        <f>SUM(D$154:D$163)</f>
        <v>-5680</v>
      </c>
      <c r="E164">
        <f>SUM(E$154:E$163)</f>
        <v>-210453</v>
      </c>
    </row>
    <row r="166" spans="2:5" x14ac:dyDescent="0.2">
      <c r="B166" t="s">
        <v>369</v>
      </c>
    </row>
    <row r="167" spans="2:5" x14ac:dyDescent="0.2">
      <c r="C167" t="s">
        <v>187</v>
      </c>
      <c r="D167" t="s">
        <v>10</v>
      </c>
      <c r="E167">
        <v>-50000</v>
      </c>
    </row>
    <row r="168" spans="2:5" x14ac:dyDescent="0.2">
      <c r="C168" t="s">
        <v>188</v>
      </c>
      <c r="D168" t="s">
        <v>10</v>
      </c>
      <c r="E168">
        <v>-66880</v>
      </c>
    </row>
    <row r="169" spans="2:5" x14ac:dyDescent="0.2">
      <c r="B169" t="s">
        <v>453</v>
      </c>
      <c r="D169">
        <f>SUM(D$167:D$168)</f>
        <v>0</v>
      </c>
      <c r="E169">
        <f>SUM(E$167:E$168)</f>
        <v>-116880</v>
      </c>
    </row>
    <row r="171" spans="2:5" x14ac:dyDescent="0.2">
      <c r="B171" t="s">
        <v>371</v>
      </c>
    </row>
    <row r="172" spans="2:5" x14ac:dyDescent="0.2">
      <c r="C172" t="s">
        <v>191</v>
      </c>
      <c r="D172">
        <v>-215134</v>
      </c>
      <c r="E172">
        <v>-215134</v>
      </c>
    </row>
    <row r="173" spans="2:5" x14ac:dyDescent="0.2">
      <c r="C173" t="s">
        <v>192</v>
      </c>
      <c r="D173">
        <v>-52025</v>
      </c>
      <c r="E173">
        <v>-305565.23</v>
      </c>
    </row>
    <row r="174" spans="2:5" x14ac:dyDescent="0.2">
      <c r="C174" t="s">
        <v>193</v>
      </c>
      <c r="D174">
        <v>-41804.49</v>
      </c>
      <c r="E174">
        <v>-593084.65</v>
      </c>
    </row>
    <row r="175" spans="2:5" x14ac:dyDescent="0.2">
      <c r="C175" t="s">
        <v>194</v>
      </c>
      <c r="D175">
        <v>-32960</v>
      </c>
      <c r="E175">
        <v>-547634</v>
      </c>
    </row>
    <row r="176" spans="2:5" x14ac:dyDescent="0.2">
      <c r="C176" t="s">
        <v>195</v>
      </c>
      <c r="D176">
        <v>-491.93</v>
      </c>
      <c r="E176">
        <v>-19465.93</v>
      </c>
    </row>
    <row r="177" spans="2:5" x14ac:dyDescent="0.2">
      <c r="C177" t="s">
        <v>196</v>
      </c>
      <c r="D177">
        <v>-230</v>
      </c>
      <c r="E177">
        <v>-8120</v>
      </c>
    </row>
    <row r="178" spans="2:5" x14ac:dyDescent="0.2">
      <c r="C178" t="s">
        <v>197</v>
      </c>
      <c r="D178" t="s">
        <v>10</v>
      </c>
      <c r="E178">
        <v>-489582.08000000002</v>
      </c>
    </row>
    <row r="179" spans="2:5" x14ac:dyDescent="0.2">
      <c r="C179" t="s">
        <v>198</v>
      </c>
      <c r="D179" t="s">
        <v>10</v>
      </c>
      <c r="E179">
        <v>-74663.899999999994</v>
      </c>
    </row>
    <row r="180" spans="2:5" x14ac:dyDescent="0.2">
      <c r="B180" t="s">
        <v>459</v>
      </c>
      <c r="D180">
        <f>SUM(D$172:D$179)</f>
        <v>-342645.42</v>
      </c>
      <c r="E180">
        <f>SUM(E$172:E$179)</f>
        <v>-2253249.7899999996</v>
      </c>
    </row>
    <row r="182" spans="2:5" x14ac:dyDescent="0.2">
      <c r="B182" t="s">
        <v>373</v>
      </c>
    </row>
    <row r="183" spans="2:5" x14ac:dyDescent="0.2">
      <c r="C183" t="s">
        <v>201</v>
      </c>
      <c r="D183">
        <v>-25329.599999999999</v>
      </c>
      <c r="E183">
        <v>-326398.96000000002</v>
      </c>
    </row>
    <row r="184" spans="2:5" x14ac:dyDescent="0.2">
      <c r="C184" t="s">
        <v>202</v>
      </c>
      <c r="D184">
        <v>-15000</v>
      </c>
      <c r="E184">
        <v>-180000</v>
      </c>
    </row>
    <row r="185" spans="2:5" x14ac:dyDescent="0.2">
      <c r="C185" t="s">
        <v>203</v>
      </c>
      <c r="D185">
        <v>-15000</v>
      </c>
      <c r="E185">
        <v>-240230</v>
      </c>
    </row>
    <row r="186" spans="2:5" x14ac:dyDescent="0.2">
      <c r="C186" t="s">
        <v>204</v>
      </c>
      <c r="D186">
        <v>-15000</v>
      </c>
      <c r="E186">
        <v>-54846</v>
      </c>
    </row>
    <row r="187" spans="2:5" x14ac:dyDescent="0.2">
      <c r="C187" t="s">
        <v>205</v>
      </c>
      <c r="D187">
        <v>-14000</v>
      </c>
      <c r="E187">
        <v>-14500</v>
      </c>
    </row>
    <row r="188" spans="2:5" x14ac:dyDescent="0.2">
      <c r="C188" t="s">
        <v>206</v>
      </c>
      <c r="D188">
        <v>-8606</v>
      </c>
      <c r="E188">
        <v>-84291</v>
      </c>
    </row>
    <row r="189" spans="2:5" x14ac:dyDescent="0.2">
      <c r="C189" t="s">
        <v>207</v>
      </c>
      <c r="D189">
        <v>-7975</v>
      </c>
      <c r="E189">
        <v>-7975</v>
      </c>
    </row>
    <row r="190" spans="2:5" x14ac:dyDescent="0.2">
      <c r="C190" t="s">
        <v>208</v>
      </c>
      <c r="D190">
        <v>-6615</v>
      </c>
      <c r="E190">
        <v>-48895</v>
      </c>
    </row>
    <row r="191" spans="2:5" x14ac:dyDescent="0.2">
      <c r="C191" t="s">
        <v>209</v>
      </c>
      <c r="D191">
        <v>-6445.14</v>
      </c>
      <c r="E191">
        <v>-71944.75</v>
      </c>
    </row>
    <row r="192" spans="2:5" x14ac:dyDescent="0.2">
      <c r="C192" t="s">
        <v>210</v>
      </c>
      <c r="D192">
        <v>-5250</v>
      </c>
      <c r="E192">
        <v>-22628.04</v>
      </c>
    </row>
    <row r="193" spans="3:5" x14ac:dyDescent="0.2">
      <c r="C193" t="s">
        <v>211</v>
      </c>
      <c r="D193">
        <v>-4956</v>
      </c>
      <c r="E193">
        <v>-154684.25</v>
      </c>
    </row>
    <row r="194" spans="3:5" x14ac:dyDescent="0.2">
      <c r="C194" t="s">
        <v>212</v>
      </c>
      <c r="D194">
        <v>-4000</v>
      </c>
      <c r="E194">
        <v>-48000</v>
      </c>
    </row>
    <row r="195" spans="3:5" x14ac:dyDescent="0.2">
      <c r="C195" t="s">
        <v>213</v>
      </c>
      <c r="D195">
        <v>-3974</v>
      </c>
      <c r="E195">
        <v>-50962</v>
      </c>
    </row>
    <row r="196" spans="3:5" x14ac:dyDescent="0.2">
      <c r="C196" t="s">
        <v>214</v>
      </c>
      <c r="D196">
        <v>-3800</v>
      </c>
      <c r="E196">
        <v>-30800</v>
      </c>
    </row>
    <row r="197" spans="3:5" x14ac:dyDescent="0.2">
      <c r="C197" t="s">
        <v>215</v>
      </c>
      <c r="D197">
        <v>-3489</v>
      </c>
      <c r="E197">
        <v>-60639.3</v>
      </c>
    </row>
    <row r="198" spans="3:5" x14ac:dyDescent="0.2">
      <c r="C198" t="s">
        <v>216</v>
      </c>
      <c r="D198">
        <v>-3250</v>
      </c>
      <c r="E198">
        <v>-31563</v>
      </c>
    </row>
    <row r="199" spans="3:5" x14ac:dyDescent="0.2">
      <c r="C199" t="s">
        <v>217</v>
      </c>
      <c r="D199">
        <v>-3135.85</v>
      </c>
      <c r="E199">
        <v>-23455.85</v>
      </c>
    </row>
    <row r="200" spans="3:5" x14ac:dyDescent="0.2">
      <c r="C200" t="s">
        <v>218</v>
      </c>
      <c r="D200">
        <v>-2700</v>
      </c>
      <c r="E200">
        <v>-8600</v>
      </c>
    </row>
    <row r="201" spans="3:5" x14ac:dyDescent="0.2">
      <c r="C201" t="s">
        <v>219</v>
      </c>
      <c r="D201">
        <v>-2305</v>
      </c>
      <c r="E201">
        <v>-30855</v>
      </c>
    </row>
    <row r="202" spans="3:5" x14ac:dyDescent="0.2">
      <c r="C202" t="s">
        <v>220</v>
      </c>
      <c r="D202">
        <v>-1739</v>
      </c>
      <c r="E202">
        <v>-2026</v>
      </c>
    </row>
    <row r="203" spans="3:5" x14ac:dyDescent="0.2">
      <c r="C203" t="s">
        <v>222</v>
      </c>
      <c r="D203">
        <v>-1595</v>
      </c>
      <c r="E203">
        <v>-15302.5</v>
      </c>
    </row>
    <row r="204" spans="3:5" x14ac:dyDescent="0.2">
      <c r="C204" t="s">
        <v>224</v>
      </c>
      <c r="D204">
        <v>-1470</v>
      </c>
      <c r="E204">
        <v>-8939</v>
      </c>
    </row>
    <row r="205" spans="3:5" x14ac:dyDescent="0.2">
      <c r="C205" t="s">
        <v>226</v>
      </c>
      <c r="D205">
        <v>-1271</v>
      </c>
      <c r="E205">
        <v>-29155.07</v>
      </c>
    </row>
    <row r="206" spans="3:5" x14ac:dyDescent="0.2">
      <c r="C206" t="s">
        <v>228</v>
      </c>
      <c r="D206">
        <v>-525</v>
      </c>
      <c r="E206">
        <v>-2149</v>
      </c>
    </row>
    <row r="207" spans="3:5" x14ac:dyDescent="0.2">
      <c r="C207" t="s">
        <v>230</v>
      </c>
      <c r="D207">
        <v>-500</v>
      </c>
      <c r="E207">
        <v>-500</v>
      </c>
    </row>
    <row r="208" spans="3:5" x14ac:dyDescent="0.2">
      <c r="C208" t="s">
        <v>232</v>
      </c>
      <c r="D208" t="s">
        <v>10</v>
      </c>
      <c r="E208">
        <v>-3300</v>
      </c>
    </row>
    <row r="209" spans="2:5" x14ac:dyDescent="0.2">
      <c r="C209" t="s">
        <v>234</v>
      </c>
      <c r="D209" t="s">
        <v>10</v>
      </c>
      <c r="E209">
        <v>-1998</v>
      </c>
    </row>
    <row r="210" spans="2:5" x14ac:dyDescent="0.2">
      <c r="C210" t="s">
        <v>236</v>
      </c>
      <c r="D210" t="s">
        <v>10</v>
      </c>
      <c r="E210">
        <v>-2400</v>
      </c>
    </row>
    <row r="211" spans="2:5" x14ac:dyDescent="0.2">
      <c r="C211" t="s">
        <v>238</v>
      </c>
      <c r="D211" t="s">
        <v>10</v>
      </c>
      <c r="E211">
        <v>-167913</v>
      </c>
    </row>
    <row r="212" spans="2:5" x14ac:dyDescent="0.2">
      <c r="C212" t="s">
        <v>240</v>
      </c>
      <c r="D212" t="s">
        <v>10</v>
      </c>
      <c r="E212">
        <v>-2560</v>
      </c>
    </row>
    <row r="213" spans="2:5" x14ac:dyDescent="0.2">
      <c r="C213" t="s">
        <v>242</v>
      </c>
      <c r="D213" t="s">
        <v>10</v>
      </c>
      <c r="E213">
        <v>-3024</v>
      </c>
    </row>
    <row r="214" spans="2:5" x14ac:dyDescent="0.2">
      <c r="C214" t="s">
        <v>244</v>
      </c>
      <c r="D214" t="s">
        <v>10</v>
      </c>
      <c r="E214">
        <v>-4909</v>
      </c>
    </row>
    <row r="215" spans="2:5" x14ac:dyDescent="0.2">
      <c r="C215" t="s">
        <v>246</v>
      </c>
      <c r="D215" t="s">
        <v>10</v>
      </c>
      <c r="E215">
        <v>-21000</v>
      </c>
    </row>
    <row r="216" spans="2:5" x14ac:dyDescent="0.2">
      <c r="C216" t="s">
        <v>248</v>
      </c>
      <c r="D216" t="s">
        <v>10</v>
      </c>
      <c r="E216">
        <v>-45887</v>
      </c>
    </row>
    <row r="217" spans="2:5" x14ac:dyDescent="0.2">
      <c r="C217" t="s">
        <v>250</v>
      </c>
      <c r="D217" t="s">
        <v>10</v>
      </c>
      <c r="E217">
        <v>-3925.56</v>
      </c>
    </row>
    <row r="218" spans="2:5" x14ac:dyDescent="0.2">
      <c r="B218" t="s">
        <v>461</v>
      </c>
      <c r="D218">
        <f>SUM(D$183:D$217)</f>
        <v>-157930.59</v>
      </c>
      <c r="E218">
        <f>SUM(E$183:E$217)</f>
        <v>-1806256.2800000003</v>
      </c>
    </row>
    <row r="220" spans="2:5" x14ac:dyDescent="0.2">
      <c r="B220" t="s">
        <v>375</v>
      </c>
    </row>
    <row r="221" spans="2:5" x14ac:dyDescent="0.2">
      <c r="C221" t="s">
        <v>253</v>
      </c>
      <c r="D221">
        <v>-1000</v>
      </c>
      <c r="E221">
        <v>-191000</v>
      </c>
    </row>
    <row r="222" spans="2:5" x14ac:dyDescent="0.2">
      <c r="C222" t="s">
        <v>254</v>
      </c>
      <c r="D222" t="s">
        <v>10</v>
      </c>
      <c r="E222">
        <v>-401023.38</v>
      </c>
    </row>
    <row r="223" spans="2:5" x14ac:dyDescent="0.2">
      <c r="C223" t="s">
        <v>255</v>
      </c>
      <c r="D223" t="s">
        <v>10</v>
      </c>
      <c r="E223">
        <v>-13900</v>
      </c>
    </row>
    <row r="224" spans="2:5" x14ac:dyDescent="0.2">
      <c r="C224" t="s">
        <v>256</v>
      </c>
      <c r="D224" t="s">
        <v>10</v>
      </c>
      <c r="E224">
        <v>-2072.94</v>
      </c>
    </row>
    <row r="225" spans="2:5" x14ac:dyDescent="0.2">
      <c r="C225" t="s">
        <v>257</v>
      </c>
      <c r="D225" t="s">
        <v>10</v>
      </c>
      <c r="E225">
        <v>-3541163.09</v>
      </c>
    </row>
    <row r="226" spans="2:5" x14ac:dyDescent="0.2">
      <c r="B226" t="s">
        <v>470</v>
      </c>
      <c r="D226">
        <f>SUM(D$221:D$225)</f>
        <v>-1000</v>
      </c>
      <c r="E226">
        <f>SUM(E$221:E$225)</f>
        <v>-4149159.4099999997</v>
      </c>
    </row>
    <row r="228" spans="2:5" x14ac:dyDescent="0.2">
      <c r="B228" t="s">
        <v>377</v>
      </c>
    </row>
    <row r="229" spans="2:5" x14ac:dyDescent="0.2">
      <c r="C229" t="s">
        <v>260</v>
      </c>
      <c r="D229">
        <v>-16000</v>
      </c>
      <c r="E229">
        <v>-225800</v>
      </c>
    </row>
    <row r="230" spans="2:5" x14ac:dyDescent="0.2">
      <c r="C230" t="s">
        <v>261</v>
      </c>
      <c r="D230">
        <v>-2700</v>
      </c>
      <c r="E230">
        <v>-4500</v>
      </c>
    </row>
    <row r="231" spans="2:5" x14ac:dyDescent="0.2">
      <c r="C231" t="s">
        <v>262</v>
      </c>
      <c r="D231">
        <v>-2500</v>
      </c>
      <c r="E231">
        <v>-57000</v>
      </c>
    </row>
    <row r="232" spans="2:5" x14ac:dyDescent="0.2">
      <c r="C232" t="s">
        <v>263</v>
      </c>
      <c r="D232">
        <v>-383</v>
      </c>
      <c r="E232">
        <v>-20683</v>
      </c>
    </row>
    <row r="233" spans="2:5" x14ac:dyDescent="0.2">
      <c r="C233" t="s">
        <v>264</v>
      </c>
      <c r="D233" t="s">
        <v>10</v>
      </c>
      <c r="E233">
        <v>-5300</v>
      </c>
    </row>
    <row r="234" spans="2:5" x14ac:dyDescent="0.2">
      <c r="C234" t="s">
        <v>265</v>
      </c>
      <c r="D234" t="s">
        <v>10</v>
      </c>
      <c r="E234">
        <v>-3700</v>
      </c>
    </row>
    <row r="235" spans="2:5" x14ac:dyDescent="0.2">
      <c r="B235" t="s">
        <v>471</v>
      </c>
      <c r="D235">
        <f>SUM(D$229:D$234)</f>
        <v>-21583</v>
      </c>
      <c r="E235">
        <f>SUM(E$229:E$234)</f>
        <v>-316983</v>
      </c>
    </row>
    <row r="237" spans="2:5" x14ac:dyDescent="0.2">
      <c r="B237" t="s">
        <v>449</v>
      </c>
    </row>
    <row r="238" spans="2:5" x14ac:dyDescent="0.2">
      <c r="B238" t="s">
        <v>392</v>
      </c>
    </row>
    <row r="239" spans="2:5" x14ac:dyDescent="0.2">
      <c r="C239" t="s">
        <v>293</v>
      </c>
      <c r="D239">
        <v>-15000</v>
      </c>
      <c r="E239">
        <v>-29000</v>
      </c>
    </row>
    <row r="240" spans="2:5" x14ac:dyDescent="0.2">
      <c r="C240" t="s">
        <v>294</v>
      </c>
      <c r="D240">
        <v>-5000</v>
      </c>
      <c r="E240">
        <v>-10000</v>
      </c>
    </row>
    <row r="241" spans="2:5" x14ac:dyDescent="0.2">
      <c r="C241" t="s">
        <v>295</v>
      </c>
      <c r="D241" t="s">
        <v>10</v>
      </c>
      <c r="E241">
        <v>-20000</v>
      </c>
    </row>
    <row r="242" spans="2:5" x14ac:dyDescent="0.2">
      <c r="C242" t="s">
        <v>296</v>
      </c>
      <c r="D242" t="s">
        <v>10</v>
      </c>
      <c r="E242">
        <v>-24400</v>
      </c>
    </row>
    <row r="243" spans="2:5" x14ac:dyDescent="0.2">
      <c r="C243" t="s">
        <v>297</v>
      </c>
      <c r="D243" t="s">
        <v>10</v>
      </c>
      <c r="E243">
        <v>-35000</v>
      </c>
    </row>
    <row r="244" spans="2:5" x14ac:dyDescent="0.2">
      <c r="C244" t="s">
        <v>298</v>
      </c>
      <c r="D244" t="s">
        <v>10</v>
      </c>
      <c r="E244">
        <v>-60000</v>
      </c>
    </row>
    <row r="245" spans="2:5" x14ac:dyDescent="0.2">
      <c r="C245" t="s">
        <v>299</v>
      </c>
      <c r="D245" t="s">
        <v>10</v>
      </c>
      <c r="E245">
        <v>-4500</v>
      </c>
    </row>
    <row r="246" spans="2:5" x14ac:dyDescent="0.2">
      <c r="B246" t="s">
        <v>472</v>
      </c>
      <c r="D246">
        <f>SUM(D$239:D$245)</f>
        <v>-20000</v>
      </c>
      <c r="E246">
        <f>SUM(E$239:E$245)</f>
        <v>-182900</v>
      </c>
    </row>
    <row r="248" spans="2:5" x14ac:dyDescent="0.2">
      <c r="B248" t="s">
        <v>394</v>
      </c>
    </row>
    <row r="249" spans="2:5" x14ac:dyDescent="0.2">
      <c r="C249" t="s">
        <v>302</v>
      </c>
      <c r="D249">
        <v>-26463</v>
      </c>
      <c r="E249">
        <v>-29463</v>
      </c>
    </row>
    <row r="250" spans="2:5" x14ac:dyDescent="0.2">
      <c r="C250" t="s">
        <v>303</v>
      </c>
      <c r="D250">
        <v>-2500</v>
      </c>
      <c r="E250">
        <v>-2500</v>
      </c>
    </row>
    <row r="251" spans="2:5" x14ac:dyDescent="0.2">
      <c r="C251" t="s">
        <v>304</v>
      </c>
      <c r="D251">
        <v>-2000</v>
      </c>
      <c r="E251">
        <v>-2000</v>
      </c>
    </row>
    <row r="252" spans="2:5" x14ac:dyDescent="0.2">
      <c r="C252" t="s">
        <v>305</v>
      </c>
      <c r="D252">
        <v>-1700</v>
      </c>
      <c r="E252">
        <v>-3550</v>
      </c>
    </row>
    <row r="253" spans="2:5" x14ac:dyDescent="0.2">
      <c r="C253" t="s">
        <v>306</v>
      </c>
      <c r="D253">
        <v>-150</v>
      </c>
      <c r="E253">
        <v>-150</v>
      </c>
    </row>
    <row r="254" spans="2:5" x14ac:dyDescent="0.2">
      <c r="C254" t="s">
        <v>307</v>
      </c>
      <c r="D254" t="s">
        <v>10</v>
      </c>
      <c r="E254">
        <v>-6175</v>
      </c>
    </row>
    <row r="255" spans="2:5" x14ac:dyDescent="0.2">
      <c r="C255" t="s">
        <v>308</v>
      </c>
      <c r="D255" t="s">
        <v>10</v>
      </c>
      <c r="E255">
        <v>-106287</v>
      </c>
    </row>
    <row r="256" spans="2:5" x14ac:dyDescent="0.2">
      <c r="C256" t="s">
        <v>309</v>
      </c>
      <c r="D256" t="s">
        <v>10</v>
      </c>
      <c r="E256">
        <v>-48372</v>
      </c>
    </row>
    <row r="257" spans="2:5" x14ac:dyDescent="0.2">
      <c r="B257" t="s">
        <v>473</v>
      </c>
      <c r="D257">
        <f>SUM(D$249:D$256)</f>
        <v>-32813</v>
      </c>
      <c r="E257">
        <f>SUM(E$249:E$256)</f>
        <v>-198497</v>
      </c>
    </row>
    <row r="259" spans="2:5" x14ac:dyDescent="0.2">
      <c r="B259" t="s">
        <v>396</v>
      </c>
    </row>
    <row r="260" spans="2:5" x14ac:dyDescent="0.2">
      <c r="C260" t="s">
        <v>312</v>
      </c>
      <c r="D260" t="s">
        <v>10</v>
      </c>
      <c r="E260">
        <v>-9369</v>
      </c>
    </row>
    <row r="261" spans="2:5" x14ac:dyDescent="0.2">
      <c r="C261" t="s">
        <v>313</v>
      </c>
      <c r="D261" t="s">
        <v>10</v>
      </c>
      <c r="E261">
        <v>-3000</v>
      </c>
    </row>
    <row r="262" spans="2:5" x14ac:dyDescent="0.2">
      <c r="C262" t="s">
        <v>265</v>
      </c>
      <c r="D262" t="s">
        <v>10</v>
      </c>
      <c r="E262">
        <v>-1000</v>
      </c>
    </row>
    <row r="263" spans="2:5" x14ac:dyDescent="0.2">
      <c r="C263" t="s">
        <v>314</v>
      </c>
      <c r="D263" t="s">
        <v>10</v>
      </c>
      <c r="E263">
        <v>-20500</v>
      </c>
    </row>
    <row r="264" spans="2:5" x14ac:dyDescent="0.2">
      <c r="C264" t="s">
        <v>315</v>
      </c>
      <c r="D264" t="s">
        <v>10</v>
      </c>
      <c r="E264">
        <v>-40500</v>
      </c>
    </row>
    <row r="265" spans="2:5" x14ac:dyDescent="0.2">
      <c r="B265" t="s">
        <v>474</v>
      </c>
      <c r="D265">
        <f>SUM(D$260:D$264)</f>
        <v>0</v>
      </c>
      <c r="E265">
        <f>SUM(E$260:E$264)</f>
        <v>-74369</v>
      </c>
    </row>
    <row r="267" spans="2:5" x14ac:dyDescent="0.2">
      <c r="B267" t="s">
        <v>398</v>
      </c>
    </row>
    <row r="268" spans="2:5" x14ac:dyDescent="0.2">
      <c r="C268" t="s">
        <v>318</v>
      </c>
      <c r="D268">
        <v>-300000</v>
      </c>
      <c r="E268">
        <v>-300000</v>
      </c>
    </row>
    <row r="269" spans="2:5" x14ac:dyDescent="0.2">
      <c r="C269" t="s">
        <v>265</v>
      </c>
      <c r="D269">
        <v>-3800</v>
      </c>
      <c r="E269">
        <v>-3800</v>
      </c>
    </row>
    <row r="270" spans="2:5" x14ac:dyDescent="0.2">
      <c r="C270" t="s">
        <v>319</v>
      </c>
      <c r="D270">
        <v>-3570</v>
      </c>
      <c r="E270">
        <v>-3994</v>
      </c>
    </row>
    <row r="271" spans="2:5" x14ac:dyDescent="0.2">
      <c r="C271" t="s">
        <v>320</v>
      </c>
      <c r="D271" t="s">
        <v>10</v>
      </c>
      <c r="E271">
        <v>-438880</v>
      </c>
    </row>
    <row r="272" spans="2:5" x14ac:dyDescent="0.2">
      <c r="B272" t="s">
        <v>475</v>
      </c>
      <c r="D272">
        <f>SUM(D$268:D$271)</f>
        <v>-307370</v>
      </c>
      <c r="E272">
        <f>SUM(E$268:E$271)</f>
        <v>-746674</v>
      </c>
    </row>
    <row r="274" spans="2:5" x14ac:dyDescent="0.2">
      <c r="B274" t="s">
        <v>400</v>
      </c>
    </row>
    <row r="275" spans="2:5" x14ac:dyDescent="0.2">
      <c r="C275" t="s">
        <v>323</v>
      </c>
      <c r="D275" t="s">
        <v>10</v>
      </c>
      <c r="E275">
        <v>-17268</v>
      </c>
    </row>
    <row r="276" spans="2:5" x14ac:dyDescent="0.2">
      <c r="C276" t="s">
        <v>324</v>
      </c>
      <c r="D276" t="s">
        <v>10</v>
      </c>
      <c r="E276">
        <v>-20378</v>
      </c>
    </row>
    <row r="277" spans="2:5" x14ac:dyDescent="0.2">
      <c r="C277" t="s">
        <v>325</v>
      </c>
      <c r="D277" t="s">
        <v>10</v>
      </c>
      <c r="E277">
        <v>-10694</v>
      </c>
    </row>
    <row r="278" spans="2:5" x14ac:dyDescent="0.2">
      <c r="C278" t="s">
        <v>326</v>
      </c>
      <c r="D278" t="s">
        <v>10</v>
      </c>
      <c r="E278">
        <v>-4578.6099999999997</v>
      </c>
    </row>
    <row r="279" spans="2:5" x14ac:dyDescent="0.2">
      <c r="C279" t="s">
        <v>327</v>
      </c>
      <c r="D279" t="s">
        <v>10</v>
      </c>
      <c r="E279">
        <v>-8120</v>
      </c>
    </row>
    <row r="280" spans="2:5" x14ac:dyDescent="0.2">
      <c r="C280" t="s">
        <v>328</v>
      </c>
      <c r="D280" t="s">
        <v>10</v>
      </c>
      <c r="E280">
        <v>-1000</v>
      </c>
    </row>
    <row r="281" spans="2:5" x14ac:dyDescent="0.2">
      <c r="C281" t="s">
        <v>329</v>
      </c>
      <c r="D281" t="s">
        <v>10</v>
      </c>
      <c r="E281">
        <v>-15200</v>
      </c>
    </row>
    <row r="282" spans="2:5" x14ac:dyDescent="0.2">
      <c r="C282" t="s">
        <v>330</v>
      </c>
      <c r="D282" t="s">
        <v>10</v>
      </c>
      <c r="E282">
        <v>-8190</v>
      </c>
    </row>
    <row r="283" spans="2:5" x14ac:dyDescent="0.2">
      <c r="B283" t="s">
        <v>476</v>
      </c>
      <c r="D283">
        <f>SUM(D$275:D$282)</f>
        <v>0</v>
      </c>
      <c r="E283">
        <f>SUM(E$275:E$282)</f>
        <v>-85428.61</v>
      </c>
    </row>
    <row r="285" spans="2:5" x14ac:dyDescent="0.2">
      <c r="B285" t="s">
        <v>405</v>
      </c>
      <c r="D285">
        <f>SUM(D$67,D$83,D$90,D$94,D$101,D$119,D$151,D$164,D$169,D$180,D$218,D$226,D$235,D$246,D$257,D$265,D$272,D$283)</f>
        <v>-1990079.73</v>
      </c>
      <c r="E285">
        <f>SUM(E$67,E$83,E$90,E$94,E$101,E$119,E$151,E$164,E$169,E$180,E$218,E$226,E$235,E$246,E$257,E$265,E$272,E$283)</f>
        <v>-26074424.719999999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42"/>
  <sheetViews>
    <sheetView workbookViewId="0">
      <selection activeCell="A2" sqref="A2:B42"/>
    </sheetView>
  </sheetViews>
  <sheetFormatPr defaultRowHeight="11.25" x14ac:dyDescent="0.2"/>
  <cols>
    <col min="1" max="1" width="9.1640625" style="18" bestFit="1" customWidth="1"/>
    <col min="2" max="2" width="8.5" style="14" bestFit="1" customWidth="1"/>
  </cols>
  <sheetData>
    <row r="1" spans="1:6" x14ac:dyDescent="0.2">
      <c r="A1" s="18" t="s">
        <v>334</v>
      </c>
    </row>
    <row r="2" spans="1:6" x14ac:dyDescent="0.2">
      <c r="A2" s="18">
        <v>1</v>
      </c>
      <c r="B2" s="14" t="s">
        <v>333</v>
      </c>
    </row>
    <row r="3" spans="1:6" x14ac:dyDescent="0.2">
      <c r="A3" s="18" t="s">
        <v>432</v>
      </c>
      <c r="B3" s="14" t="s">
        <v>335</v>
      </c>
      <c r="F3" t="s">
        <v>454</v>
      </c>
    </row>
    <row r="4" spans="1:6" x14ac:dyDescent="0.2">
      <c r="A4" s="18" t="s">
        <v>421</v>
      </c>
      <c r="B4" s="14" t="s">
        <v>406</v>
      </c>
    </row>
    <row r="5" spans="1:6" x14ac:dyDescent="0.2">
      <c r="A5" s="18" t="s">
        <v>422</v>
      </c>
      <c r="B5" s="14" t="s">
        <v>407</v>
      </c>
    </row>
    <row r="6" spans="1:6" x14ac:dyDescent="0.2">
      <c r="A6" s="18" t="s">
        <v>423</v>
      </c>
      <c r="B6" s="14" t="s">
        <v>410</v>
      </c>
    </row>
    <row r="7" spans="1:6" x14ac:dyDescent="0.2">
      <c r="A7" s="18" t="s">
        <v>424</v>
      </c>
      <c r="B7" s="21" t="s">
        <v>408</v>
      </c>
    </row>
    <row r="8" spans="1:6" x14ac:dyDescent="0.2">
      <c r="A8" s="18" t="s">
        <v>425</v>
      </c>
      <c r="B8" s="21" t="s">
        <v>409</v>
      </c>
    </row>
    <row r="9" spans="1:6" x14ac:dyDescent="0.2">
      <c r="A9" s="18" t="s">
        <v>433</v>
      </c>
      <c r="B9" s="15" t="s">
        <v>336</v>
      </c>
      <c r="C9" s="16"/>
      <c r="D9" s="17"/>
    </row>
    <row r="10" spans="1:6" x14ac:dyDescent="0.2">
      <c r="A10" s="18" t="s">
        <v>434</v>
      </c>
      <c r="B10" s="14" t="s">
        <v>337</v>
      </c>
    </row>
    <row r="11" spans="1:6" x14ac:dyDescent="0.2">
      <c r="A11" s="18">
        <v>2</v>
      </c>
      <c r="B11" s="14" t="s">
        <v>338</v>
      </c>
    </row>
    <row r="12" spans="1:6" x14ac:dyDescent="0.2">
      <c r="A12" s="18" t="s">
        <v>412</v>
      </c>
      <c r="B12" s="14" t="s">
        <v>411</v>
      </c>
    </row>
    <row r="13" spans="1:6" x14ac:dyDescent="0.2">
      <c r="A13" s="18" t="s">
        <v>413</v>
      </c>
      <c r="B13" s="14" t="s">
        <v>414</v>
      </c>
    </row>
    <row r="14" spans="1:6" x14ac:dyDescent="0.2">
      <c r="A14" s="18" t="s">
        <v>415</v>
      </c>
      <c r="B14" s="14" t="s">
        <v>345</v>
      </c>
    </row>
    <row r="15" spans="1:6" x14ac:dyDescent="0.2">
      <c r="A15" s="18" t="s">
        <v>416</v>
      </c>
      <c r="B15" s="14" t="s">
        <v>347</v>
      </c>
    </row>
    <row r="16" spans="1:6" x14ac:dyDescent="0.2">
      <c r="A16" s="18" t="s">
        <v>417</v>
      </c>
      <c r="B16" s="14" t="s">
        <v>351</v>
      </c>
    </row>
    <row r="17" spans="1:13" x14ac:dyDescent="0.2">
      <c r="A17" s="18" t="s">
        <v>418</v>
      </c>
      <c r="B17" s="14" t="s">
        <v>349</v>
      </c>
    </row>
    <row r="18" spans="1:13" x14ac:dyDescent="0.2">
      <c r="A18" s="18" t="s">
        <v>419</v>
      </c>
      <c r="B18" s="14" t="s">
        <v>357</v>
      </c>
    </row>
    <row r="19" spans="1:13" x14ac:dyDescent="0.2">
      <c r="A19" s="18" t="s">
        <v>420</v>
      </c>
      <c r="B19" s="14" t="s">
        <v>353</v>
      </c>
    </row>
    <row r="20" spans="1:13" x14ac:dyDescent="0.2">
      <c r="A20" s="18" t="s">
        <v>435</v>
      </c>
      <c r="B20" s="14" t="s">
        <v>436</v>
      </c>
      <c r="M20">
        <f>398</f>
        <v>398</v>
      </c>
    </row>
    <row r="21" spans="1:13" x14ac:dyDescent="0.2">
      <c r="A21" s="18" t="s">
        <v>437</v>
      </c>
      <c r="B21" s="14" t="s">
        <v>438</v>
      </c>
      <c r="M21">
        <v>296.5</v>
      </c>
    </row>
    <row r="22" spans="1:13" x14ac:dyDescent="0.2">
      <c r="A22" s="18" t="s">
        <v>439</v>
      </c>
      <c r="B22" s="14" t="s">
        <v>122</v>
      </c>
      <c r="M22">
        <v>60</v>
      </c>
    </row>
    <row r="23" spans="1:13" x14ac:dyDescent="0.2">
      <c r="A23" s="18" t="s">
        <v>440</v>
      </c>
      <c r="B23" s="14" t="s">
        <v>124</v>
      </c>
      <c r="M23">
        <v>100</v>
      </c>
    </row>
    <row r="24" spans="1:13" x14ac:dyDescent="0.2">
      <c r="A24" s="18" t="s">
        <v>441</v>
      </c>
      <c r="B24" s="14" t="s">
        <v>123</v>
      </c>
    </row>
    <row r="25" spans="1:13" x14ac:dyDescent="0.2">
      <c r="A25" s="18" t="s">
        <v>443</v>
      </c>
      <c r="B25" s="14" t="s">
        <v>442</v>
      </c>
    </row>
    <row r="26" spans="1:13" x14ac:dyDescent="0.2">
      <c r="A26" s="18" t="s">
        <v>444</v>
      </c>
      <c r="B26" s="14" t="s">
        <v>361</v>
      </c>
      <c r="M26">
        <v>-1000</v>
      </c>
    </row>
    <row r="27" spans="1:13" x14ac:dyDescent="0.2">
      <c r="A27" s="18" t="s">
        <v>445</v>
      </c>
      <c r="B27" s="14" t="s">
        <v>150</v>
      </c>
    </row>
    <row r="28" spans="1:13" x14ac:dyDescent="0.2">
      <c r="A28" s="18" t="s">
        <v>447</v>
      </c>
      <c r="B28" s="14" t="s">
        <v>446</v>
      </c>
    </row>
    <row r="29" spans="1:13" x14ac:dyDescent="0.2">
      <c r="A29" s="18" t="s">
        <v>455</v>
      </c>
      <c r="B29" s="14" t="s">
        <v>365</v>
      </c>
    </row>
    <row r="30" spans="1:13" x14ac:dyDescent="0.2">
      <c r="A30" s="18" t="s">
        <v>456</v>
      </c>
      <c r="B30" s="14" t="s">
        <v>367</v>
      </c>
    </row>
    <row r="31" spans="1:13" x14ac:dyDescent="0.2">
      <c r="A31" s="18" t="s">
        <v>457</v>
      </c>
      <c r="B31" s="14" t="s">
        <v>369</v>
      </c>
    </row>
    <row r="32" spans="1:13" x14ac:dyDescent="0.2">
      <c r="A32" s="18" t="s">
        <v>458</v>
      </c>
      <c r="B32" s="14" t="s">
        <v>371</v>
      </c>
    </row>
    <row r="33" spans="1:2" x14ac:dyDescent="0.2">
      <c r="A33" s="18" t="s">
        <v>460</v>
      </c>
      <c r="B33" s="14" t="s">
        <v>373</v>
      </c>
    </row>
    <row r="34" spans="1:2" x14ac:dyDescent="0.2">
      <c r="A34" s="18" t="s">
        <v>462</v>
      </c>
      <c r="B34" s="14" t="s">
        <v>375</v>
      </c>
    </row>
    <row r="35" spans="1:2" x14ac:dyDescent="0.2">
      <c r="A35" s="18" t="s">
        <v>463</v>
      </c>
      <c r="B35" s="14" t="s">
        <v>377</v>
      </c>
    </row>
    <row r="36" spans="1:2" x14ac:dyDescent="0.2">
      <c r="A36" s="18" t="s">
        <v>464</v>
      </c>
      <c r="B36" s="14" t="s">
        <v>448</v>
      </c>
    </row>
    <row r="37" spans="1:2" x14ac:dyDescent="0.2">
      <c r="A37" s="18" t="s">
        <v>450</v>
      </c>
      <c r="B37" s="14" t="s">
        <v>449</v>
      </c>
    </row>
    <row r="38" spans="1:2" x14ac:dyDescent="0.2">
      <c r="A38" s="18" t="s">
        <v>465</v>
      </c>
      <c r="B38" s="14" t="s">
        <v>392</v>
      </c>
    </row>
    <row r="39" spans="1:2" x14ac:dyDescent="0.2">
      <c r="A39" s="18" t="s">
        <v>466</v>
      </c>
      <c r="B39" s="14" t="s">
        <v>394</v>
      </c>
    </row>
    <row r="40" spans="1:2" x14ac:dyDescent="0.2">
      <c r="A40" s="18" t="s">
        <v>467</v>
      </c>
      <c r="B40" s="14" t="s">
        <v>396</v>
      </c>
    </row>
    <row r="41" spans="1:2" x14ac:dyDescent="0.2">
      <c r="A41" s="18" t="s">
        <v>468</v>
      </c>
      <c r="B41" s="14" t="s">
        <v>398</v>
      </c>
    </row>
    <row r="42" spans="1:2" x14ac:dyDescent="0.2">
      <c r="A42" s="18" t="s">
        <v>469</v>
      </c>
      <c r="B42" s="14" t="s">
        <v>400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299"/>
  <sheetViews>
    <sheetView workbookViewId="0">
      <selection activeCell="C14" sqref="C14"/>
    </sheetView>
  </sheetViews>
  <sheetFormatPr defaultRowHeight="11.25" x14ac:dyDescent="0.2"/>
  <cols>
    <col min="1" max="1" width="60.83203125" bestFit="1" customWidth="1"/>
    <col min="2" max="2" width="37.1640625" customWidth="1"/>
    <col min="3" max="4" width="13.83203125" customWidth="1"/>
    <col min="5" max="5" width="14" customWidth="1"/>
    <col min="6" max="6" width="16" customWidth="1"/>
    <col min="7" max="7" width="14.33203125" customWidth="1"/>
    <col min="8" max="256" width="10.33203125" customWidth="1"/>
  </cols>
  <sheetData>
    <row r="1" spans="1:7" ht="12" x14ac:dyDescent="0.2">
      <c r="A1" s="12" t="s">
        <v>0</v>
      </c>
      <c r="B1" s="12"/>
      <c r="C1" s="1"/>
      <c r="D1" s="1"/>
      <c r="E1" s="1"/>
      <c r="F1" s="1"/>
      <c r="G1" s="1"/>
    </row>
    <row r="2" spans="1:7" ht="24" x14ac:dyDescent="0.2">
      <c r="A2" s="13" t="s">
        <v>1</v>
      </c>
      <c r="B2" s="12"/>
      <c r="C2" s="2"/>
      <c r="D2" s="2"/>
      <c r="E2" s="2"/>
      <c r="F2" s="2"/>
      <c r="G2" s="2"/>
    </row>
    <row r="4" spans="1:7" x14ac:dyDescent="0.2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</row>
    <row r="5" spans="1:7" s="4" customFormat="1" x14ac:dyDescent="0.2">
      <c r="A5" s="19" t="s">
        <v>335</v>
      </c>
      <c r="B5" s="20"/>
      <c r="C5" s="5" t="s">
        <v>10</v>
      </c>
      <c r="D5" s="5" t="s">
        <v>10</v>
      </c>
      <c r="E5" s="6"/>
      <c r="F5" s="6"/>
      <c r="G5" s="6"/>
    </row>
    <row r="6" spans="1:7" s="4" customFormat="1" ht="9.75" x14ac:dyDescent="0.2">
      <c r="A6" s="19">
        <v>1</v>
      </c>
      <c r="B6" s="19" t="s">
        <v>12</v>
      </c>
      <c r="C6" s="8">
        <v>1570346</v>
      </c>
      <c r="D6" s="8">
        <v>18272090</v>
      </c>
      <c r="E6" s="6"/>
      <c r="F6" s="6"/>
      <c r="G6" s="6"/>
    </row>
    <row r="7" spans="1:7" s="4" customFormat="1" ht="9.75" x14ac:dyDescent="0.2">
      <c r="A7" s="19">
        <v>2</v>
      </c>
      <c r="B7" s="19" t="s">
        <v>14</v>
      </c>
      <c r="C7" s="8">
        <v>1461670</v>
      </c>
      <c r="D7" s="8">
        <v>2851288</v>
      </c>
      <c r="E7" s="6"/>
      <c r="F7" s="6"/>
      <c r="G7" s="6"/>
    </row>
    <row r="8" spans="1:7" s="4" customFormat="1" ht="9.75" x14ac:dyDescent="0.2">
      <c r="A8" s="19">
        <v>3</v>
      </c>
      <c r="B8" s="19" t="s">
        <v>16</v>
      </c>
      <c r="C8" s="8">
        <v>479100</v>
      </c>
      <c r="D8" s="8">
        <v>5881250</v>
      </c>
      <c r="E8" s="6"/>
      <c r="F8" s="6"/>
      <c r="G8" s="6"/>
    </row>
    <row r="9" spans="1:7" s="4" customFormat="1" ht="9.75" x14ac:dyDescent="0.2">
      <c r="A9" s="19">
        <v>4</v>
      </c>
      <c r="B9" s="19" t="s">
        <v>18</v>
      </c>
      <c r="C9" s="8">
        <v>307700</v>
      </c>
      <c r="D9" s="8">
        <v>4339000</v>
      </c>
      <c r="E9" s="6"/>
      <c r="F9" s="6"/>
      <c r="G9" s="6"/>
    </row>
    <row r="10" spans="1:7" s="4" customFormat="1" ht="9.75" x14ac:dyDescent="0.2">
      <c r="A10" s="19">
        <v>5</v>
      </c>
      <c r="B10" s="19" t="s">
        <v>20</v>
      </c>
      <c r="C10" s="8">
        <v>100000</v>
      </c>
      <c r="D10" s="8">
        <v>1180000</v>
      </c>
      <c r="E10" s="6"/>
      <c r="F10" s="6"/>
      <c r="G10" s="6"/>
    </row>
    <row r="11" spans="1:7" s="4" customFormat="1" ht="9.75" x14ac:dyDescent="0.2">
      <c r="A11" s="19">
        <v>6</v>
      </c>
      <c r="B11" s="19" t="s">
        <v>22</v>
      </c>
      <c r="C11" s="8">
        <v>49575</v>
      </c>
      <c r="D11" s="8">
        <v>542852</v>
      </c>
      <c r="E11" s="6"/>
      <c r="F11" s="6"/>
      <c r="G11" s="6"/>
    </row>
    <row r="12" spans="1:7" s="4" customFormat="1" ht="9.75" x14ac:dyDescent="0.2">
      <c r="A12" s="19">
        <v>7</v>
      </c>
      <c r="B12" s="19" t="s">
        <v>24</v>
      </c>
      <c r="C12" s="8">
        <v>43900</v>
      </c>
      <c r="D12" s="8">
        <v>675970</v>
      </c>
      <c r="E12" s="6"/>
      <c r="F12" s="6"/>
      <c r="G12" s="6"/>
    </row>
    <row r="13" spans="1:7" s="4" customFormat="1" ht="9.75" x14ac:dyDescent="0.2">
      <c r="A13" s="19">
        <v>8</v>
      </c>
      <c r="B13" s="19" t="s">
        <v>26</v>
      </c>
      <c r="C13" s="8">
        <v>33800</v>
      </c>
      <c r="D13" s="8">
        <v>306800</v>
      </c>
      <c r="E13" s="6"/>
      <c r="F13" s="6"/>
      <c r="G13" s="6"/>
    </row>
    <row r="14" spans="1:7" s="4" customFormat="1" ht="9.75" x14ac:dyDescent="0.2">
      <c r="A14" s="19">
        <v>9</v>
      </c>
      <c r="B14" s="19" t="s">
        <v>28</v>
      </c>
      <c r="C14" s="8">
        <v>25300</v>
      </c>
      <c r="D14" s="8">
        <v>831300</v>
      </c>
      <c r="E14" s="6"/>
      <c r="F14" s="6"/>
      <c r="G14" s="6"/>
    </row>
    <row r="15" spans="1:7" s="4" customFormat="1" ht="9.75" x14ac:dyDescent="0.2">
      <c r="A15" s="19">
        <v>10</v>
      </c>
      <c r="B15" s="19" t="s">
        <v>30</v>
      </c>
      <c r="C15" s="8">
        <v>19550</v>
      </c>
      <c r="D15" s="8">
        <v>218550</v>
      </c>
      <c r="E15" s="6"/>
      <c r="F15" s="6"/>
      <c r="G15" s="6"/>
    </row>
    <row r="16" spans="1:7" s="4" customFormat="1" ht="9.75" x14ac:dyDescent="0.2">
      <c r="A16" s="19">
        <v>11</v>
      </c>
      <c r="B16" s="19" t="s">
        <v>32</v>
      </c>
      <c r="C16" s="8">
        <v>19444</v>
      </c>
      <c r="D16" s="8">
        <v>300040</v>
      </c>
      <c r="E16" s="6"/>
      <c r="F16" s="6"/>
      <c r="G16" s="6"/>
    </row>
    <row r="17" spans="1:7" s="4" customFormat="1" ht="9.75" x14ac:dyDescent="0.2">
      <c r="A17" s="19">
        <v>12</v>
      </c>
      <c r="B17" s="19" t="s">
        <v>34</v>
      </c>
      <c r="C17" s="8">
        <v>15240</v>
      </c>
      <c r="D17" s="8">
        <v>140576</v>
      </c>
      <c r="E17" s="6"/>
      <c r="F17" s="6"/>
      <c r="G17" s="6"/>
    </row>
    <row r="18" spans="1:7" s="4" customFormat="1" ht="9.75" x14ac:dyDescent="0.2">
      <c r="A18" s="19">
        <v>13</v>
      </c>
      <c r="B18" s="19" t="s">
        <v>36</v>
      </c>
      <c r="C18" s="8">
        <v>3275</v>
      </c>
      <c r="D18" s="8">
        <v>59845</v>
      </c>
      <c r="E18" s="6"/>
      <c r="F18" s="6"/>
      <c r="G18" s="6"/>
    </row>
    <row r="19" spans="1:7" s="4" customFormat="1" ht="9.75" x14ac:dyDescent="0.2">
      <c r="A19" s="19">
        <v>14</v>
      </c>
      <c r="B19" s="19" t="s">
        <v>38</v>
      </c>
      <c r="C19" s="9">
        <v>340</v>
      </c>
      <c r="D19" s="8">
        <v>9763</v>
      </c>
      <c r="E19" s="6"/>
      <c r="F19" s="6"/>
      <c r="G19" s="6"/>
    </row>
    <row r="20" spans="1:7" s="4" customFormat="1" ht="9.75" x14ac:dyDescent="0.2">
      <c r="A20" s="19">
        <v>15</v>
      </c>
      <c r="B20" s="19" t="s">
        <v>40</v>
      </c>
      <c r="C20" s="5" t="s">
        <v>10</v>
      </c>
      <c r="D20" s="8">
        <v>306893.75</v>
      </c>
      <c r="E20" s="6"/>
      <c r="F20" s="6"/>
      <c r="G20" s="6"/>
    </row>
    <row r="21" spans="1:7" s="4" customFormat="1" ht="9.75" x14ac:dyDescent="0.2">
      <c r="A21" s="19">
        <v>16</v>
      </c>
      <c r="B21" s="19" t="s">
        <v>42</v>
      </c>
      <c r="C21" s="5" t="s">
        <v>10</v>
      </c>
      <c r="D21" s="8">
        <v>14000</v>
      </c>
      <c r="E21" s="6"/>
      <c r="F21" s="6"/>
      <c r="G21" s="6"/>
    </row>
    <row r="22" spans="1:7" s="4" customFormat="1" ht="9.75" x14ac:dyDescent="0.2">
      <c r="A22" s="19">
        <v>17</v>
      </c>
      <c r="B22" s="19" t="s">
        <v>44</v>
      </c>
      <c r="C22" s="5" t="s">
        <v>10</v>
      </c>
      <c r="D22" s="8">
        <v>147362</v>
      </c>
      <c r="E22" s="6"/>
      <c r="F22" s="6"/>
      <c r="G22" s="6"/>
    </row>
    <row r="23" spans="1:7" s="4" customFormat="1" ht="9.75" x14ac:dyDescent="0.2">
      <c r="A23" s="19">
        <v>18</v>
      </c>
      <c r="B23" s="19" t="s">
        <v>46</v>
      </c>
      <c r="C23" s="5" t="s">
        <v>10</v>
      </c>
      <c r="D23" s="8">
        <v>88000</v>
      </c>
      <c r="E23" s="6"/>
      <c r="F23" s="6"/>
      <c r="G23" s="6"/>
    </row>
    <row r="24" spans="1:7" s="4" customFormat="1" x14ac:dyDescent="0.2">
      <c r="A24" s="19" t="s">
        <v>342</v>
      </c>
      <c r="B24" s="20"/>
      <c r="C24" s="8">
        <v>4129240</v>
      </c>
      <c r="D24" s="8">
        <v>36165579.75</v>
      </c>
      <c r="E24" s="6"/>
      <c r="F24" s="6"/>
      <c r="G24" s="6"/>
    </row>
    <row r="25" spans="1:7" s="4" customFormat="1" x14ac:dyDescent="0.2">
      <c r="A25" s="19" t="s">
        <v>336</v>
      </c>
      <c r="B25" s="20"/>
      <c r="C25" s="5" t="s">
        <v>10</v>
      </c>
      <c r="D25" s="5" t="s">
        <v>10</v>
      </c>
      <c r="E25" s="6"/>
      <c r="F25" s="6"/>
      <c r="G25" s="6"/>
    </row>
    <row r="26" spans="1:7" s="4" customFormat="1" ht="9.75" x14ac:dyDescent="0.2">
      <c r="A26" s="19">
        <v>1</v>
      </c>
      <c r="B26" s="19" t="s">
        <v>49</v>
      </c>
      <c r="C26" s="8">
        <v>20000</v>
      </c>
      <c r="D26" s="8">
        <v>140000</v>
      </c>
      <c r="E26" s="6"/>
      <c r="F26" s="6"/>
      <c r="G26" s="6"/>
    </row>
    <row r="27" spans="1:7" s="4" customFormat="1" ht="9.75" x14ac:dyDescent="0.2">
      <c r="A27" s="19">
        <v>2</v>
      </c>
      <c r="B27" s="19" t="s">
        <v>50</v>
      </c>
      <c r="C27" s="8">
        <v>20000</v>
      </c>
      <c r="D27" s="8">
        <v>30000</v>
      </c>
      <c r="E27" s="6"/>
      <c r="F27" s="6"/>
      <c r="G27" s="6"/>
    </row>
    <row r="28" spans="1:7" s="4" customFormat="1" ht="9.75" x14ac:dyDescent="0.2">
      <c r="A28" s="19">
        <v>3</v>
      </c>
      <c r="B28" s="19" t="s">
        <v>51</v>
      </c>
      <c r="C28" s="8">
        <v>20000</v>
      </c>
      <c r="D28" s="8">
        <v>130000</v>
      </c>
      <c r="E28" s="6"/>
      <c r="F28" s="6"/>
      <c r="G28" s="6"/>
    </row>
    <row r="29" spans="1:7" s="4" customFormat="1" ht="9.75" x14ac:dyDescent="0.2">
      <c r="A29" s="19">
        <v>4</v>
      </c>
      <c r="B29" s="19" t="s">
        <v>52</v>
      </c>
      <c r="C29" s="8">
        <v>20000</v>
      </c>
      <c r="D29" s="8">
        <v>140000</v>
      </c>
      <c r="E29" s="6"/>
      <c r="F29" s="6"/>
      <c r="G29" s="6"/>
    </row>
    <row r="30" spans="1:7" s="4" customFormat="1" ht="9.75" x14ac:dyDescent="0.2">
      <c r="A30" s="19">
        <v>5</v>
      </c>
      <c r="B30" s="19" t="s">
        <v>53</v>
      </c>
      <c r="C30" s="8">
        <v>20000</v>
      </c>
      <c r="D30" s="8">
        <v>25000</v>
      </c>
      <c r="E30" s="6"/>
      <c r="F30" s="6"/>
      <c r="G30" s="6"/>
    </row>
    <row r="31" spans="1:7" s="4" customFormat="1" ht="9.75" x14ac:dyDescent="0.2">
      <c r="A31" s="19">
        <v>6</v>
      </c>
      <c r="B31" s="19" t="s">
        <v>54</v>
      </c>
      <c r="C31" s="8">
        <v>20000</v>
      </c>
      <c r="D31" s="8">
        <v>130000</v>
      </c>
      <c r="E31" s="6"/>
      <c r="F31" s="6"/>
      <c r="G31" s="6"/>
    </row>
    <row r="32" spans="1:7" s="4" customFormat="1" ht="9.75" x14ac:dyDescent="0.2">
      <c r="A32" s="19">
        <v>7</v>
      </c>
      <c r="B32" s="19" t="s">
        <v>55</v>
      </c>
      <c r="C32" s="8">
        <v>20000</v>
      </c>
      <c r="D32" s="8">
        <v>110000</v>
      </c>
      <c r="E32" s="6"/>
      <c r="F32" s="6"/>
      <c r="G32" s="6"/>
    </row>
    <row r="33" spans="1:7" s="4" customFormat="1" ht="9.75" x14ac:dyDescent="0.2">
      <c r="A33" s="19">
        <v>8</v>
      </c>
      <c r="B33" s="19" t="s">
        <v>56</v>
      </c>
      <c r="C33" s="8">
        <v>20000</v>
      </c>
      <c r="D33" s="8">
        <v>130000</v>
      </c>
      <c r="E33" s="6"/>
      <c r="F33" s="6"/>
      <c r="G33" s="6"/>
    </row>
    <row r="34" spans="1:7" s="4" customFormat="1" ht="9.75" x14ac:dyDescent="0.2">
      <c r="A34" s="19">
        <v>9</v>
      </c>
      <c r="B34" s="19" t="s">
        <v>57</v>
      </c>
      <c r="C34" s="8">
        <v>20000</v>
      </c>
      <c r="D34" s="8">
        <v>105000</v>
      </c>
      <c r="E34" s="6"/>
      <c r="F34" s="6"/>
      <c r="G34" s="6"/>
    </row>
    <row r="35" spans="1:7" s="4" customFormat="1" ht="9.75" x14ac:dyDescent="0.2">
      <c r="A35" s="19">
        <v>10</v>
      </c>
      <c r="B35" s="19" t="s">
        <v>58</v>
      </c>
      <c r="C35" s="8">
        <v>20000</v>
      </c>
      <c r="D35" s="8">
        <v>140000</v>
      </c>
      <c r="E35" s="6"/>
      <c r="F35" s="6"/>
      <c r="G35" s="6"/>
    </row>
    <row r="36" spans="1:7" s="4" customFormat="1" ht="9.75" x14ac:dyDescent="0.2">
      <c r="A36" s="19">
        <v>11</v>
      </c>
      <c r="B36" s="19" t="s">
        <v>59</v>
      </c>
      <c r="C36" s="8">
        <v>20000</v>
      </c>
      <c r="D36" s="8">
        <v>185000</v>
      </c>
      <c r="E36" s="6"/>
      <c r="F36" s="6"/>
      <c r="G36" s="6"/>
    </row>
    <row r="37" spans="1:7" s="4" customFormat="1" ht="9.75" x14ac:dyDescent="0.2">
      <c r="A37" s="19">
        <v>12</v>
      </c>
      <c r="B37" s="19" t="s">
        <v>60</v>
      </c>
      <c r="C37" s="8">
        <v>20000</v>
      </c>
      <c r="D37" s="8">
        <v>140000</v>
      </c>
      <c r="E37" s="6"/>
      <c r="F37" s="6"/>
      <c r="G37" s="6"/>
    </row>
    <row r="38" spans="1:7" s="4" customFormat="1" ht="9.75" x14ac:dyDescent="0.2">
      <c r="A38" s="19">
        <v>13</v>
      </c>
      <c r="B38" s="19" t="s">
        <v>61</v>
      </c>
      <c r="C38" s="8">
        <v>20000</v>
      </c>
      <c r="D38" s="8">
        <v>20000</v>
      </c>
      <c r="E38" s="6"/>
      <c r="F38" s="6"/>
      <c r="G38" s="6"/>
    </row>
    <row r="39" spans="1:7" s="4" customFormat="1" ht="9.75" x14ac:dyDescent="0.2">
      <c r="A39" s="19">
        <v>14</v>
      </c>
      <c r="B39" s="19" t="s">
        <v>62</v>
      </c>
      <c r="C39" s="8">
        <v>20000</v>
      </c>
      <c r="D39" s="8">
        <v>215000</v>
      </c>
      <c r="E39" s="6"/>
      <c r="F39" s="6"/>
      <c r="G39" s="6"/>
    </row>
    <row r="40" spans="1:7" s="4" customFormat="1" ht="9.75" x14ac:dyDescent="0.2">
      <c r="A40" s="19">
        <v>15</v>
      </c>
      <c r="B40" s="19" t="s">
        <v>63</v>
      </c>
      <c r="C40" s="8">
        <v>15000</v>
      </c>
      <c r="D40" s="8">
        <v>65000</v>
      </c>
      <c r="E40" s="6"/>
      <c r="F40" s="6"/>
      <c r="G40" s="6"/>
    </row>
    <row r="41" spans="1:7" s="4" customFormat="1" ht="9.75" x14ac:dyDescent="0.2">
      <c r="A41" s="19">
        <v>16</v>
      </c>
      <c r="B41" s="19" t="s">
        <v>64</v>
      </c>
      <c r="C41" s="8">
        <v>15000</v>
      </c>
      <c r="D41" s="8">
        <v>215000</v>
      </c>
      <c r="E41" s="6"/>
      <c r="F41" s="6"/>
      <c r="G41" s="6"/>
    </row>
    <row r="42" spans="1:7" s="4" customFormat="1" ht="9.75" x14ac:dyDescent="0.2">
      <c r="A42" s="19">
        <v>17</v>
      </c>
      <c r="B42" s="19" t="s">
        <v>65</v>
      </c>
      <c r="C42" s="8">
        <v>15000</v>
      </c>
      <c r="D42" s="8">
        <v>165000</v>
      </c>
      <c r="E42" s="6"/>
      <c r="F42" s="6"/>
      <c r="G42" s="6"/>
    </row>
    <row r="43" spans="1:7" s="4" customFormat="1" ht="9.75" x14ac:dyDescent="0.2">
      <c r="A43" s="19">
        <v>18</v>
      </c>
      <c r="B43" s="19" t="s">
        <v>66</v>
      </c>
      <c r="C43" s="8">
        <v>10000</v>
      </c>
      <c r="D43" s="8">
        <v>130000</v>
      </c>
      <c r="E43" s="6"/>
      <c r="F43" s="6"/>
      <c r="G43" s="6"/>
    </row>
    <row r="44" spans="1:7" s="4" customFormat="1" ht="9.75" x14ac:dyDescent="0.2">
      <c r="A44" s="19">
        <v>19</v>
      </c>
      <c r="B44" s="19" t="s">
        <v>68</v>
      </c>
      <c r="C44" s="5" t="s">
        <v>10</v>
      </c>
      <c r="D44" s="8">
        <v>39000</v>
      </c>
      <c r="E44" s="6"/>
      <c r="F44" s="6"/>
      <c r="G44" s="6"/>
    </row>
    <row r="45" spans="1:7" s="4" customFormat="1" ht="9.75" x14ac:dyDescent="0.2">
      <c r="A45" s="19">
        <v>20</v>
      </c>
      <c r="B45" s="19" t="s">
        <v>70</v>
      </c>
      <c r="C45" s="5" t="s">
        <v>10</v>
      </c>
      <c r="D45" s="8">
        <v>270000</v>
      </c>
      <c r="E45" s="6"/>
      <c r="F45" s="6"/>
      <c r="G45" s="6"/>
    </row>
    <row r="46" spans="1:7" s="4" customFormat="1" x14ac:dyDescent="0.2">
      <c r="A46" s="19" t="s">
        <v>343</v>
      </c>
      <c r="B46" s="20"/>
      <c r="C46" s="8">
        <v>335000</v>
      </c>
      <c r="D46" s="8">
        <v>2524000</v>
      </c>
      <c r="E46" s="6"/>
      <c r="F46" s="6"/>
      <c r="G46" s="6"/>
    </row>
    <row r="47" spans="1:7" s="4" customFormat="1" x14ac:dyDescent="0.2">
      <c r="A47" s="19" t="s">
        <v>337</v>
      </c>
      <c r="B47" s="20"/>
      <c r="C47" s="5" t="s">
        <v>10</v>
      </c>
      <c r="D47" s="5" t="s">
        <v>10</v>
      </c>
      <c r="E47" s="6"/>
      <c r="F47" s="6"/>
      <c r="G47" s="6"/>
    </row>
    <row r="48" spans="1:7" s="4" customFormat="1" ht="9.75" x14ac:dyDescent="0.2">
      <c r="A48" s="19">
        <v>1</v>
      </c>
      <c r="B48" s="19" t="s">
        <v>73</v>
      </c>
      <c r="C48" s="8">
        <v>179000</v>
      </c>
      <c r="D48" s="8">
        <v>179000</v>
      </c>
      <c r="E48" s="6"/>
      <c r="F48" s="6"/>
      <c r="G48" s="6"/>
    </row>
    <row r="49" spans="1:7" s="4" customFormat="1" ht="9.75" x14ac:dyDescent="0.2">
      <c r="A49" s="19">
        <v>2</v>
      </c>
      <c r="B49" s="19" t="s">
        <v>74</v>
      </c>
      <c r="C49" s="5" t="s">
        <v>10</v>
      </c>
      <c r="D49" s="8">
        <v>850000</v>
      </c>
      <c r="E49" s="6"/>
      <c r="F49" s="6"/>
      <c r="G49" s="6"/>
    </row>
    <row r="50" spans="1:7" s="4" customFormat="1" ht="9.75" x14ac:dyDescent="0.2">
      <c r="A50" s="19">
        <v>3</v>
      </c>
      <c r="B50" s="19" t="s">
        <v>75</v>
      </c>
      <c r="C50" s="5" t="s">
        <v>10</v>
      </c>
      <c r="D50" s="8">
        <v>4500000</v>
      </c>
      <c r="E50" s="6"/>
      <c r="F50" s="6"/>
      <c r="G50" s="6"/>
    </row>
    <row r="51" spans="1:7" s="4" customFormat="1" ht="9.75" x14ac:dyDescent="0.2">
      <c r="A51" s="19">
        <v>4</v>
      </c>
      <c r="B51" s="19" t="s">
        <v>76</v>
      </c>
      <c r="C51" s="5" t="s">
        <v>10</v>
      </c>
      <c r="D51" s="8">
        <v>10000</v>
      </c>
      <c r="E51" s="6"/>
      <c r="F51" s="6"/>
      <c r="G51" s="6"/>
    </row>
    <row r="52" spans="1:7" s="4" customFormat="1" x14ac:dyDescent="0.2">
      <c r="A52" s="19" t="s">
        <v>344</v>
      </c>
      <c r="B52" s="20"/>
      <c r="C52" s="8">
        <v>179000</v>
      </c>
      <c r="D52" s="8">
        <v>5539000</v>
      </c>
      <c r="E52" s="6"/>
      <c r="F52" s="6"/>
      <c r="G52" s="6"/>
    </row>
    <row r="53" spans="1:7" s="4" customFormat="1" x14ac:dyDescent="0.2">
      <c r="A53" s="19" t="s">
        <v>345</v>
      </c>
      <c r="B53" s="20"/>
      <c r="C53" s="5" t="s">
        <v>10</v>
      </c>
      <c r="D53" s="5" t="s">
        <v>10</v>
      </c>
      <c r="E53" s="6"/>
      <c r="F53" s="6"/>
      <c r="G53" s="6"/>
    </row>
    <row r="54" spans="1:7" s="4" customFormat="1" ht="9.75" x14ac:dyDescent="0.2">
      <c r="A54" s="19">
        <v>1</v>
      </c>
      <c r="B54" s="19" t="s">
        <v>79</v>
      </c>
      <c r="C54" s="8">
        <v>-41450</v>
      </c>
      <c r="D54" s="8">
        <v>-322164</v>
      </c>
      <c r="E54" s="6"/>
      <c r="F54" s="6"/>
      <c r="G54" s="6"/>
    </row>
    <row r="55" spans="1:7" s="4" customFormat="1" ht="9.75" x14ac:dyDescent="0.2">
      <c r="A55" s="19">
        <v>2</v>
      </c>
      <c r="B55" s="19" t="s">
        <v>80</v>
      </c>
      <c r="C55" s="5" t="s">
        <v>10</v>
      </c>
      <c r="D55" s="8">
        <v>-184850</v>
      </c>
      <c r="E55" s="6"/>
      <c r="F55" s="6"/>
      <c r="G55" s="6"/>
    </row>
    <row r="56" spans="1:7" s="4" customFormat="1" x14ac:dyDescent="0.2">
      <c r="A56" s="19" t="s">
        <v>346</v>
      </c>
      <c r="B56" s="20"/>
      <c r="C56" s="8">
        <v>-41450</v>
      </c>
      <c r="D56" s="8">
        <v>-507014</v>
      </c>
      <c r="E56" s="6"/>
      <c r="F56" s="6"/>
      <c r="G56" s="6"/>
    </row>
    <row r="57" spans="1:7" s="4" customFormat="1" x14ac:dyDescent="0.2">
      <c r="A57" s="19" t="s">
        <v>347</v>
      </c>
      <c r="B57" s="20"/>
      <c r="C57" s="5" t="s">
        <v>10</v>
      </c>
      <c r="D57" s="5" t="s">
        <v>10</v>
      </c>
      <c r="E57" s="6"/>
      <c r="F57" s="6"/>
      <c r="G57" s="6"/>
    </row>
    <row r="58" spans="1:7" s="4" customFormat="1" ht="9.75" x14ac:dyDescent="0.2">
      <c r="A58" s="19">
        <v>1</v>
      </c>
      <c r="B58" s="19" t="s">
        <v>83</v>
      </c>
      <c r="C58" s="8">
        <v>-15100</v>
      </c>
      <c r="D58" s="8">
        <v>-114500</v>
      </c>
      <c r="E58" s="6"/>
      <c r="F58" s="6"/>
      <c r="G58" s="6"/>
    </row>
    <row r="59" spans="1:7" s="4" customFormat="1" ht="9.75" x14ac:dyDescent="0.2">
      <c r="A59" s="19">
        <v>2</v>
      </c>
      <c r="B59" s="19" t="s">
        <v>84</v>
      </c>
      <c r="C59" s="8">
        <v>-8850</v>
      </c>
      <c r="D59" s="8">
        <v>-19411</v>
      </c>
      <c r="E59" s="6"/>
      <c r="F59" s="6"/>
      <c r="G59" s="6"/>
    </row>
    <row r="60" spans="1:7" s="4" customFormat="1" ht="9.75" x14ac:dyDescent="0.2">
      <c r="A60" s="19">
        <v>3</v>
      </c>
      <c r="B60" s="19" t="s">
        <v>85</v>
      </c>
      <c r="C60" s="5" t="s">
        <v>10</v>
      </c>
      <c r="D60" s="8">
        <v>-4000</v>
      </c>
      <c r="E60" s="6"/>
      <c r="F60" s="6"/>
      <c r="G60" s="6"/>
    </row>
    <row r="61" spans="1:7" s="4" customFormat="1" ht="9.75" x14ac:dyDescent="0.2">
      <c r="A61" s="19">
        <v>4</v>
      </c>
      <c r="B61" s="19" t="s">
        <v>86</v>
      </c>
      <c r="C61" s="5" t="s">
        <v>10</v>
      </c>
      <c r="D61" s="8">
        <v>-16499</v>
      </c>
      <c r="E61" s="6"/>
      <c r="F61" s="6"/>
      <c r="G61" s="6"/>
    </row>
    <row r="62" spans="1:7" s="4" customFormat="1" ht="9.75" x14ac:dyDescent="0.2">
      <c r="A62" s="19">
        <v>5</v>
      </c>
      <c r="B62" s="19" t="s">
        <v>87</v>
      </c>
      <c r="C62" s="5" t="s">
        <v>10</v>
      </c>
      <c r="D62" s="8">
        <v>-57974.87</v>
      </c>
      <c r="E62" s="6"/>
      <c r="F62" s="6"/>
      <c r="G62" s="6"/>
    </row>
    <row r="63" spans="1:7" s="4" customFormat="1" ht="9.75" x14ac:dyDescent="0.2">
      <c r="A63" s="19">
        <v>6</v>
      </c>
      <c r="B63" s="19" t="s">
        <v>36</v>
      </c>
      <c r="C63" s="5" t="s">
        <v>10</v>
      </c>
      <c r="D63" s="8">
        <v>-50400</v>
      </c>
      <c r="E63" s="6"/>
      <c r="F63" s="6"/>
      <c r="G63" s="6"/>
    </row>
    <row r="64" spans="1:7" s="4" customFormat="1" ht="9.75" x14ac:dyDescent="0.2">
      <c r="A64" s="19">
        <v>7</v>
      </c>
      <c r="B64" s="19" t="s">
        <v>88</v>
      </c>
      <c r="C64" s="5" t="s">
        <v>10</v>
      </c>
      <c r="D64" s="8">
        <v>-720090</v>
      </c>
      <c r="E64" s="6"/>
      <c r="F64" s="6"/>
      <c r="G64" s="6"/>
    </row>
    <row r="65" spans="1:7" s="4" customFormat="1" ht="9.75" x14ac:dyDescent="0.2">
      <c r="A65" s="19">
        <v>8</v>
      </c>
      <c r="B65" s="19" t="s">
        <v>89</v>
      </c>
      <c r="C65" s="5" t="s">
        <v>10</v>
      </c>
      <c r="D65" s="8">
        <v>-12000</v>
      </c>
      <c r="E65" s="6"/>
      <c r="F65" s="6"/>
      <c r="G65" s="6"/>
    </row>
    <row r="66" spans="1:7" s="4" customFormat="1" ht="9.75" x14ac:dyDescent="0.2">
      <c r="A66" s="19">
        <v>9</v>
      </c>
      <c r="B66" s="19" t="s">
        <v>90</v>
      </c>
      <c r="C66" s="5" t="s">
        <v>10</v>
      </c>
      <c r="D66" s="8">
        <v>-1000</v>
      </c>
      <c r="E66" s="6"/>
      <c r="F66" s="6"/>
      <c r="G66" s="6"/>
    </row>
    <row r="67" spans="1:7" s="4" customFormat="1" ht="9.75" x14ac:dyDescent="0.2">
      <c r="A67" s="19">
        <v>10</v>
      </c>
      <c r="B67" s="19" t="s">
        <v>91</v>
      </c>
      <c r="C67" s="5" t="s">
        <v>10</v>
      </c>
      <c r="D67" s="8">
        <v>-1320</v>
      </c>
      <c r="E67" s="6"/>
      <c r="F67" s="6"/>
      <c r="G67" s="6"/>
    </row>
    <row r="68" spans="1:7" s="4" customFormat="1" ht="9.75" x14ac:dyDescent="0.2">
      <c r="A68" s="19">
        <v>11</v>
      </c>
      <c r="B68" s="19" t="s">
        <v>92</v>
      </c>
      <c r="C68" s="5" t="s">
        <v>10</v>
      </c>
      <c r="D68" s="8">
        <v>-2605</v>
      </c>
      <c r="E68" s="6"/>
      <c r="F68" s="6"/>
      <c r="G68" s="6"/>
    </row>
    <row r="69" spans="1:7" s="4" customFormat="1" ht="9.75" x14ac:dyDescent="0.2">
      <c r="A69" s="19">
        <v>12</v>
      </c>
      <c r="B69" s="19" t="s">
        <v>93</v>
      </c>
      <c r="C69" s="5" t="s">
        <v>10</v>
      </c>
      <c r="D69" s="8">
        <v>-15000</v>
      </c>
      <c r="E69" s="6"/>
      <c r="F69" s="6"/>
      <c r="G69" s="6"/>
    </row>
    <row r="70" spans="1:7" s="4" customFormat="1" ht="9.75" x14ac:dyDescent="0.2">
      <c r="A70" s="19">
        <v>13</v>
      </c>
      <c r="B70" s="19" t="s">
        <v>94</v>
      </c>
      <c r="C70" s="5" t="s">
        <v>10</v>
      </c>
      <c r="D70" s="8">
        <v>-16500</v>
      </c>
      <c r="E70" s="6"/>
      <c r="F70" s="6"/>
      <c r="G70" s="6"/>
    </row>
    <row r="71" spans="1:7" s="4" customFormat="1" x14ac:dyDescent="0.2">
      <c r="A71" s="19" t="s">
        <v>348</v>
      </c>
      <c r="B71" s="20"/>
      <c r="C71" s="8">
        <v>-23950</v>
      </c>
      <c r="D71" s="8">
        <v>-1031299.87</v>
      </c>
      <c r="E71" s="6"/>
      <c r="F71" s="6"/>
      <c r="G71" s="6"/>
    </row>
    <row r="72" spans="1:7" s="4" customFormat="1" x14ac:dyDescent="0.2">
      <c r="A72" s="19" t="s">
        <v>349</v>
      </c>
      <c r="B72" s="20"/>
      <c r="C72" s="5" t="s">
        <v>10</v>
      </c>
      <c r="D72" s="5" t="s">
        <v>10</v>
      </c>
      <c r="E72" s="6"/>
      <c r="F72" s="6"/>
      <c r="G72" s="6"/>
    </row>
    <row r="73" spans="1:7" s="4" customFormat="1" ht="9.75" x14ac:dyDescent="0.2">
      <c r="A73" s="19">
        <v>1</v>
      </c>
      <c r="B73" s="19" t="s">
        <v>97</v>
      </c>
      <c r="C73" s="8">
        <v>-30900</v>
      </c>
      <c r="D73" s="8">
        <v>-322250</v>
      </c>
      <c r="E73" s="6"/>
      <c r="F73" s="6"/>
      <c r="G73" s="6"/>
    </row>
    <row r="74" spans="1:7" s="4" customFormat="1" x14ac:dyDescent="0.2">
      <c r="A74" s="19" t="s">
        <v>350</v>
      </c>
      <c r="B74" s="20"/>
      <c r="C74" s="8">
        <v>-30900</v>
      </c>
      <c r="D74" s="8">
        <v>-322250</v>
      </c>
      <c r="E74" s="6"/>
      <c r="F74" s="6"/>
      <c r="G74" s="6"/>
    </row>
    <row r="75" spans="1:7" s="4" customFormat="1" x14ac:dyDescent="0.2">
      <c r="A75" s="19" t="s">
        <v>351</v>
      </c>
      <c r="B75" s="20"/>
      <c r="C75" s="5" t="s">
        <v>10</v>
      </c>
      <c r="D75" s="5" t="s">
        <v>10</v>
      </c>
      <c r="E75" s="6"/>
      <c r="F75" s="6"/>
      <c r="G75" s="6"/>
    </row>
    <row r="76" spans="1:7" s="4" customFormat="1" ht="9.75" x14ac:dyDescent="0.2">
      <c r="A76" s="19">
        <v>1</v>
      </c>
      <c r="B76" s="19" t="s">
        <v>80</v>
      </c>
      <c r="C76" s="8">
        <v>-154100</v>
      </c>
      <c r="D76" s="8">
        <v>-230000</v>
      </c>
      <c r="E76" s="6"/>
      <c r="F76" s="6"/>
      <c r="G76" s="6"/>
    </row>
    <row r="77" spans="1:7" s="4" customFormat="1" ht="9.75" x14ac:dyDescent="0.2">
      <c r="A77" s="19">
        <v>2</v>
      </c>
      <c r="B77" s="19" t="s">
        <v>100</v>
      </c>
      <c r="C77" s="8">
        <v>-1471</v>
      </c>
      <c r="D77" s="8">
        <v>-136021</v>
      </c>
      <c r="E77" s="6"/>
      <c r="F77" s="6"/>
      <c r="G77" s="6"/>
    </row>
    <row r="78" spans="1:7" s="4" customFormat="1" ht="9.75" x14ac:dyDescent="0.2">
      <c r="A78" s="19">
        <v>3</v>
      </c>
      <c r="B78" s="19" t="s">
        <v>101</v>
      </c>
      <c r="C78" s="5" t="s">
        <v>10</v>
      </c>
      <c r="D78" s="8">
        <v>-10000</v>
      </c>
      <c r="E78" s="6"/>
      <c r="F78" s="6"/>
      <c r="G78" s="6"/>
    </row>
    <row r="79" spans="1:7" s="4" customFormat="1" ht="9.75" x14ac:dyDescent="0.2">
      <c r="A79" s="19">
        <v>4</v>
      </c>
      <c r="B79" s="19" t="s">
        <v>102</v>
      </c>
      <c r="C79" s="5" t="s">
        <v>10</v>
      </c>
      <c r="D79" s="8">
        <v>-31522</v>
      </c>
      <c r="E79" s="6"/>
      <c r="F79" s="6"/>
      <c r="G79" s="6"/>
    </row>
    <row r="80" spans="1:7" s="4" customFormat="1" x14ac:dyDescent="0.2">
      <c r="A80" s="19" t="s">
        <v>352</v>
      </c>
      <c r="B80" s="20"/>
      <c r="C80" s="8">
        <v>-155571</v>
      </c>
      <c r="D80" s="8">
        <v>-407543</v>
      </c>
      <c r="E80" s="6"/>
      <c r="F80" s="6"/>
      <c r="G80" s="6"/>
    </row>
    <row r="81" spans="1:7" s="4" customFormat="1" x14ac:dyDescent="0.2">
      <c r="A81" s="19" t="s">
        <v>353</v>
      </c>
      <c r="B81" s="20"/>
      <c r="C81" s="5" t="s">
        <v>10</v>
      </c>
      <c r="D81" s="5" t="s">
        <v>10</v>
      </c>
      <c r="E81" s="6"/>
      <c r="F81" s="6"/>
      <c r="G81" s="6"/>
    </row>
    <row r="82" spans="1:7" s="4" customFormat="1" ht="9.75" x14ac:dyDescent="0.2">
      <c r="A82" s="19">
        <v>1</v>
      </c>
      <c r="B82" s="19" t="s">
        <v>105</v>
      </c>
      <c r="C82" s="8">
        <v>-45000</v>
      </c>
      <c r="D82" s="8">
        <v>-60062</v>
      </c>
      <c r="E82" s="6"/>
      <c r="F82" s="6"/>
      <c r="G82" s="6"/>
    </row>
    <row r="83" spans="1:7" s="4" customFormat="1" ht="9.75" x14ac:dyDescent="0.2">
      <c r="A83" s="19">
        <v>2</v>
      </c>
      <c r="B83" s="19" t="s">
        <v>106</v>
      </c>
      <c r="C83" s="8">
        <v>-27600</v>
      </c>
      <c r="D83" s="8">
        <v>-27600</v>
      </c>
      <c r="E83" s="6"/>
      <c r="F83" s="6"/>
      <c r="G83" s="6"/>
    </row>
    <row r="84" spans="1:7" s="4" customFormat="1" ht="9.75" x14ac:dyDescent="0.2">
      <c r="A84" s="19">
        <v>3</v>
      </c>
      <c r="B84" s="19" t="s">
        <v>107</v>
      </c>
      <c r="C84" s="9">
        <v>-570</v>
      </c>
      <c r="D84" s="8">
        <v>-6343.48</v>
      </c>
      <c r="E84" s="6"/>
      <c r="F84" s="6"/>
      <c r="G84" s="6"/>
    </row>
    <row r="85" spans="1:7" s="4" customFormat="1" ht="9.75" x14ac:dyDescent="0.2">
      <c r="A85" s="19">
        <v>4</v>
      </c>
      <c r="B85" s="19" t="s">
        <v>108</v>
      </c>
      <c r="C85" s="5" t="s">
        <v>10</v>
      </c>
      <c r="D85" s="8">
        <v>-15560</v>
      </c>
      <c r="E85" s="6"/>
      <c r="F85" s="6"/>
      <c r="G85" s="6"/>
    </row>
    <row r="86" spans="1:7" s="4" customFormat="1" ht="9.75" x14ac:dyDescent="0.2">
      <c r="A86" s="19">
        <v>5</v>
      </c>
      <c r="B86" s="19" t="s">
        <v>109</v>
      </c>
      <c r="C86" s="5" t="s">
        <v>10</v>
      </c>
      <c r="D86" s="8">
        <v>-113480.45</v>
      </c>
      <c r="E86" s="6"/>
      <c r="F86" s="6"/>
      <c r="G86" s="6"/>
    </row>
    <row r="87" spans="1:7" s="4" customFormat="1" ht="9.75" x14ac:dyDescent="0.2">
      <c r="A87" s="19">
        <v>6</v>
      </c>
      <c r="B87" s="19" t="s">
        <v>110</v>
      </c>
      <c r="C87" s="5" t="s">
        <v>10</v>
      </c>
      <c r="D87" s="8">
        <v>-89500</v>
      </c>
      <c r="E87" s="6"/>
      <c r="F87" s="6"/>
      <c r="G87" s="6"/>
    </row>
    <row r="88" spans="1:7" s="4" customFormat="1" ht="9.75" x14ac:dyDescent="0.2">
      <c r="A88" s="19">
        <v>7</v>
      </c>
      <c r="B88" s="19" t="s">
        <v>111</v>
      </c>
      <c r="C88" s="5" t="s">
        <v>10</v>
      </c>
      <c r="D88" s="8">
        <v>-10550</v>
      </c>
      <c r="E88" s="6"/>
      <c r="F88" s="6"/>
      <c r="G88" s="6"/>
    </row>
    <row r="89" spans="1:7" s="4" customFormat="1" ht="9.75" x14ac:dyDescent="0.2">
      <c r="A89" s="19">
        <v>8</v>
      </c>
      <c r="B89" s="19" t="s">
        <v>112</v>
      </c>
      <c r="C89" s="5" t="s">
        <v>10</v>
      </c>
      <c r="D89" s="8">
        <v>-295771</v>
      </c>
      <c r="E89" s="6"/>
      <c r="F89" s="6"/>
      <c r="G89" s="6"/>
    </row>
    <row r="90" spans="1:7" s="4" customFormat="1" ht="9.75" x14ac:dyDescent="0.2">
      <c r="A90" s="19">
        <v>9</v>
      </c>
      <c r="B90" s="19" t="s">
        <v>113</v>
      </c>
      <c r="C90" s="5" t="s">
        <v>10</v>
      </c>
      <c r="D90" s="8">
        <v>-4500</v>
      </c>
      <c r="E90" s="6"/>
      <c r="F90" s="6"/>
      <c r="G90" s="6"/>
    </row>
    <row r="91" spans="1:7" s="4" customFormat="1" ht="9.75" x14ac:dyDescent="0.2">
      <c r="A91" s="19">
        <v>10</v>
      </c>
      <c r="B91" s="19" t="s">
        <v>114</v>
      </c>
      <c r="C91" s="5" t="s">
        <v>10</v>
      </c>
      <c r="D91" s="8">
        <v>-58176</v>
      </c>
      <c r="E91" s="6"/>
      <c r="F91" s="6"/>
      <c r="G91" s="6"/>
    </row>
    <row r="92" spans="1:7" s="4" customFormat="1" ht="9.75" x14ac:dyDescent="0.2">
      <c r="A92" s="19">
        <v>11</v>
      </c>
      <c r="B92" s="19" t="s">
        <v>115</v>
      </c>
      <c r="C92" s="5" t="s">
        <v>10</v>
      </c>
      <c r="D92" s="8">
        <v>-97500</v>
      </c>
      <c r="E92" s="6"/>
      <c r="F92" s="6"/>
      <c r="G92" s="6"/>
    </row>
    <row r="93" spans="1:7" s="4" customFormat="1" ht="9.75" x14ac:dyDescent="0.2">
      <c r="A93" s="19">
        <v>12</v>
      </c>
      <c r="B93" s="19" t="s">
        <v>116</v>
      </c>
      <c r="C93" s="5" t="s">
        <v>10</v>
      </c>
      <c r="D93" s="8">
        <v>-1520300</v>
      </c>
      <c r="E93" s="6"/>
      <c r="F93" s="6"/>
      <c r="G93" s="6"/>
    </row>
    <row r="94" spans="1:7" s="4" customFormat="1" ht="9.75" x14ac:dyDescent="0.2">
      <c r="A94" s="19">
        <v>13</v>
      </c>
      <c r="B94" s="19" t="s">
        <v>117</v>
      </c>
      <c r="C94" s="5" t="s">
        <v>10</v>
      </c>
      <c r="D94" s="8">
        <v>-7000</v>
      </c>
      <c r="E94" s="6"/>
      <c r="F94" s="6"/>
      <c r="G94" s="6"/>
    </row>
    <row r="95" spans="1:7" s="4" customFormat="1" ht="9.75" x14ac:dyDescent="0.2">
      <c r="A95" s="19">
        <v>14</v>
      </c>
      <c r="B95" s="19" t="s">
        <v>118</v>
      </c>
      <c r="C95" s="5" t="s">
        <v>10</v>
      </c>
      <c r="D95" s="8">
        <v>-35000</v>
      </c>
      <c r="E95" s="6"/>
      <c r="F95" s="6"/>
      <c r="G95" s="6"/>
    </row>
    <row r="96" spans="1:7" s="4" customFormat="1" ht="9.75" x14ac:dyDescent="0.2">
      <c r="A96" s="19">
        <v>15</v>
      </c>
      <c r="B96" s="19" t="s">
        <v>119</v>
      </c>
      <c r="C96" s="5" t="s">
        <v>10</v>
      </c>
      <c r="D96" s="8">
        <v>-35000</v>
      </c>
      <c r="E96" s="6"/>
      <c r="F96" s="6"/>
      <c r="G96" s="6"/>
    </row>
    <row r="97" spans="1:7" s="4" customFormat="1" x14ac:dyDescent="0.2">
      <c r="A97" s="19" t="s">
        <v>354</v>
      </c>
      <c r="B97" s="20"/>
      <c r="C97" s="8">
        <v>-73170</v>
      </c>
      <c r="D97" s="8">
        <v>-2376342.9300000002</v>
      </c>
      <c r="E97" s="6"/>
      <c r="F97" s="6"/>
      <c r="G97" s="6"/>
    </row>
    <row r="98" spans="1:7" s="4" customFormat="1" x14ac:dyDescent="0.2">
      <c r="A98" s="19" t="s">
        <v>355</v>
      </c>
      <c r="B98" s="20"/>
      <c r="C98" s="5" t="s">
        <v>10</v>
      </c>
      <c r="D98" s="5" t="s">
        <v>10</v>
      </c>
      <c r="E98" s="6"/>
      <c r="F98" s="6"/>
      <c r="G98" s="6"/>
    </row>
    <row r="99" spans="1:7" s="4" customFormat="1" ht="9.75" x14ac:dyDescent="0.2">
      <c r="A99" s="19">
        <v>1</v>
      </c>
      <c r="B99" s="19" t="s">
        <v>122</v>
      </c>
      <c r="C99" s="8">
        <v>-1450000</v>
      </c>
      <c r="D99" s="8">
        <v>-1450000</v>
      </c>
      <c r="E99" s="6"/>
      <c r="F99" s="6"/>
      <c r="G99" s="6"/>
    </row>
    <row r="100" spans="1:7" s="4" customFormat="1" ht="9.75" x14ac:dyDescent="0.2">
      <c r="A100" s="19">
        <v>2</v>
      </c>
      <c r="B100" s="19" t="s">
        <v>123</v>
      </c>
      <c r="C100" s="5" t="s">
        <v>10</v>
      </c>
      <c r="D100" s="8">
        <v>-44043</v>
      </c>
      <c r="E100" s="6"/>
      <c r="F100" s="6"/>
      <c r="G100" s="6"/>
    </row>
    <row r="101" spans="1:7" s="4" customFormat="1" ht="9.75" x14ac:dyDescent="0.2">
      <c r="A101" s="19">
        <v>3</v>
      </c>
      <c r="B101" s="19" t="s">
        <v>124</v>
      </c>
      <c r="C101" s="5" t="s">
        <v>10</v>
      </c>
      <c r="D101" s="8">
        <v>-3013100</v>
      </c>
      <c r="E101" s="6"/>
      <c r="F101" s="6"/>
      <c r="G101" s="6"/>
    </row>
    <row r="102" spans="1:7" s="4" customFormat="1" x14ac:dyDescent="0.2">
      <c r="A102" s="19" t="s">
        <v>356</v>
      </c>
      <c r="B102" s="20"/>
      <c r="C102" s="8">
        <v>-1450000</v>
      </c>
      <c r="D102" s="8">
        <v>-4507143</v>
      </c>
      <c r="E102" s="6"/>
      <c r="F102" s="6"/>
      <c r="G102" s="6"/>
    </row>
    <row r="103" spans="1:7" s="4" customFormat="1" x14ac:dyDescent="0.2">
      <c r="A103" s="19" t="s">
        <v>357</v>
      </c>
      <c r="B103" s="20"/>
      <c r="C103" s="5" t="s">
        <v>10</v>
      </c>
      <c r="D103" s="5" t="s">
        <v>10</v>
      </c>
      <c r="E103" s="6"/>
      <c r="F103" s="6"/>
      <c r="G103" s="6"/>
    </row>
    <row r="104" spans="1:7" s="4" customFormat="1" ht="9.75" x14ac:dyDescent="0.2">
      <c r="A104" s="19">
        <v>1</v>
      </c>
      <c r="B104" s="19" t="s">
        <v>127</v>
      </c>
      <c r="C104" s="5" t="s">
        <v>10</v>
      </c>
      <c r="D104" s="8">
        <v>-1043797</v>
      </c>
      <c r="E104" s="6"/>
      <c r="F104" s="6"/>
      <c r="G104" s="6"/>
    </row>
    <row r="105" spans="1:7" s="4" customFormat="1" ht="9.75" x14ac:dyDescent="0.2">
      <c r="A105" s="19">
        <v>2</v>
      </c>
      <c r="B105" s="19" t="s">
        <v>128</v>
      </c>
      <c r="C105" s="5" t="s">
        <v>10</v>
      </c>
      <c r="D105" s="8">
        <v>-882779.1</v>
      </c>
      <c r="E105" s="6"/>
      <c r="F105" s="6"/>
      <c r="G105" s="6"/>
    </row>
    <row r="106" spans="1:7" s="4" customFormat="1" ht="9.75" x14ac:dyDescent="0.2">
      <c r="A106" s="19">
        <v>3</v>
      </c>
      <c r="B106" s="19" t="s">
        <v>129</v>
      </c>
      <c r="C106" s="5" t="s">
        <v>10</v>
      </c>
      <c r="D106" s="8">
        <v>-659443.74</v>
      </c>
      <c r="E106" s="6"/>
      <c r="F106" s="6"/>
      <c r="G106" s="6"/>
    </row>
    <row r="107" spans="1:7" s="4" customFormat="1" ht="9.75" x14ac:dyDescent="0.2">
      <c r="A107" s="19">
        <v>4</v>
      </c>
      <c r="B107" s="19" t="s">
        <v>130</v>
      </c>
      <c r="C107" s="5" t="s">
        <v>10</v>
      </c>
      <c r="D107" s="8">
        <v>-660167.62</v>
      </c>
      <c r="E107" s="6"/>
      <c r="F107" s="6"/>
      <c r="G107" s="6"/>
    </row>
    <row r="108" spans="1:7" s="4" customFormat="1" x14ac:dyDescent="0.2">
      <c r="A108" s="19" t="s">
        <v>358</v>
      </c>
      <c r="B108" s="20"/>
      <c r="C108" s="5" t="s">
        <v>10</v>
      </c>
      <c r="D108" s="8">
        <v>-3246187.46</v>
      </c>
      <c r="E108" s="6"/>
      <c r="F108" s="6"/>
      <c r="G108" s="6"/>
    </row>
    <row r="109" spans="1:7" s="4" customFormat="1" x14ac:dyDescent="0.2">
      <c r="A109" s="19" t="s">
        <v>359</v>
      </c>
      <c r="B109" s="20"/>
      <c r="C109" s="5" t="s">
        <v>10</v>
      </c>
      <c r="D109" s="5" t="s">
        <v>10</v>
      </c>
      <c r="E109" s="6"/>
      <c r="F109" s="6"/>
      <c r="G109" s="6"/>
    </row>
    <row r="110" spans="1:7" s="4" customFormat="1" ht="9.75" x14ac:dyDescent="0.2">
      <c r="A110" s="19">
        <v>1</v>
      </c>
      <c r="B110" s="19" t="s">
        <v>133</v>
      </c>
      <c r="C110" s="8">
        <v>-111142</v>
      </c>
      <c r="D110" s="8">
        <v>-111142</v>
      </c>
      <c r="E110" s="6"/>
      <c r="F110" s="6"/>
      <c r="G110" s="6"/>
    </row>
    <row r="111" spans="1:7" s="4" customFormat="1" ht="9.75" x14ac:dyDescent="0.2">
      <c r="A111" s="19">
        <v>2</v>
      </c>
      <c r="B111" s="19" t="s">
        <v>134</v>
      </c>
      <c r="C111" s="8">
        <v>-43800</v>
      </c>
      <c r="D111" s="8">
        <v>-51196</v>
      </c>
      <c r="E111" s="6"/>
      <c r="F111" s="6"/>
      <c r="G111" s="6"/>
    </row>
    <row r="112" spans="1:7" s="4" customFormat="1" ht="9.75" x14ac:dyDescent="0.2">
      <c r="A112" s="19">
        <v>3</v>
      </c>
      <c r="B112" s="19" t="s">
        <v>135</v>
      </c>
      <c r="C112" s="5" t="s">
        <v>10</v>
      </c>
      <c r="D112" s="8">
        <v>-6800</v>
      </c>
      <c r="E112" s="6"/>
      <c r="F112" s="6"/>
      <c r="G112" s="6"/>
    </row>
    <row r="113" spans="1:7" s="4" customFormat="1" ht="9.75" x14ac:dyDescent="0.2">
      <c r="A113" s="19">
        <v>4</v>
      </c>
      <c r="B113" s="19" t="s">
        <v>136</v>
      </c>
      <c r="C113" s="5" t="s">
        <v>10</v>
      </c>
      <c r="D113" s="8">
        <v>-163105</v>
      </c>
      <c r="E113" s="6"/>
      <c r="F113" s="6"/>
      <c r="G113" s="6"/>
    </row>
    <row r="114" spans="1:7" s="4" customFormat="1" ht="9.75" x14ac:dyDescent="0.2">
      <c r="A114" s="19">
        <v>5</v>
      </c>
      <c r="B114" s="19" t="s">
        <v>137</v>
      </c>
      <c r="C114" s="5" t="s">
        <v>10</v>
      </c>
      <c r="D114" s="9">
        <v>-550</v>
      </c>
      <c r="E114" s="6"/>
      <c r="F114" s="6"/>
      <c r="G114" s="6"/>
    </row>
    <row r="115" spans="1:7" s="4" customFormat="1" ht="9.75" x14ac:dyDescent="0.2">
      <c r="A115" s="19">
        <v>6</v>
      </c>
      <c r="B115" s="19" t="s">
        <v>138</v>
      </c>
      <c r="C115" s="5" t="s">
        <v>10</v>
      </c>
      <c r="D115" s="8">
        <v>-14500</v>
      </c>
      <c r="E115" s="6"/>
      <c r="F115" s="6"/>
      <c r="G115" s="6"/>
    </row>
    <row r="116" spans="1:7" s="4" customFormat="1" ht="9.75" x14ac:dyDescent="0.2">
      <c r="A116" s="19">
        <v>7</v>
      </c>
      <c r="B116" s="19" t="s">
        <v>139</v>
      </c>
      <c r="C116" s="5" t="s">
        <v>10</v>
      </c>
      <c r="D116" s="8">
        <v>-7000</v>
      </c>
      <c r="E116" s="6"/>
      <c r="F116" s="6"/>
      <c r="G116" s="6"/>
    </row>
    <row r="117" spans="1:7" s="4" customFormat="1" ht="9.75" x14ac:dyDescent="0.2">
      <c r="A117" s="19">
        <v>8</v>
      </c>
      <c r="B117" s="19" t="s">
        <v>140</v>
      </c>
      <c r="C117" s="5" t="s">
        <v>10</v>
      </c>
      <c r="D117" s="8">
        <v>-165200</v>
      </c>
      <c r="E117" s="6"/>
      <c r="F117" s="6"/>
      <c r="G117" s="6"/>
    </row>
    <row r="118" spans="1:7" s="4" customFormat="1" ht="9.75" x14ac:dyDescent="0.2">
      <c r="A118" s="19">
        <v>9</v>
      </c>
      <c r="B118" s="19" t="s">
        <v>141</v>
      </c>
      <c r="C118" s="5" t="s">
        <v>10</v>
      </c>
      <c r="D118" s="8">
        <v>-11600</v>
      </c>
      <c r="E118" s="6"/>
      <c r="F118" s="6"/>
      <c r="G118" s="6"/>
    </row>
    <row r="119" spans="1:7" s="4" customFormat="1" ht="9.75" x14ac:dyDescent="0.2">
      <c r="A119" s="19">
        <v>10</v>
      </c>
      <c r="B119" s="19" t="s">
        <v>142</v>
      </c>
      <c r="C119" s="5" t="s">
        <v>10</v>
      </c>
      <c r="D119" s="8">
        <v>-397994</v>
      </c>
      <c r="E119" s="6"/>
      <c r="F119" s="6"/>
      <c r="G119" s="6"/>
    </row>
    <row r="120" spans="1:7" s="4" customFormat="1" ht="9.75" x14ac:dyDescent="0.2">
      <c r="A120" s="19">
        <v>11</v>
      </c>
      <c r="B120" s="19" t="s">
        <v>143</v>
      </c>
      <c r="C120" s="5" t="s">
        <v>10</v>
      </c>
      <c r="D120" s="8">
        <v>-14500</v>
      </c>
      <c r="E120" s="6"/>
      <c r="F120" s="6"/>
      <c r="G120" s="6"/>
    </row>
    <row r="121" spans="1:7" s="4" customFormat="1" x14ac:dyDescent="0.2">
      <c r="A121" s="19" t="s">
        <v>360</v>
      </c>
      <c r="B121" s="20"/>
      <c r="C121" s="8">
        <v>-154942</v>
      </c>
      <c r="D121" s="8">
        <v>-943587</v>
      </c>
      <c r="E121" s="6"/>
      <c r="F121" s="6"/>
      <c r="G121" s="6"/>
    </row>
    <row r="122" spans="1:7" s="4" customFormat="1" x14ac:dyDescent="0.2">
      <c r="A122" s="19" t="s">
        <v>361</v>
      </c>
      <c r="B122" s="20"/>
      <c r="C122" s="5" t="s">
        <v>10</v>
      </c>
      <c r="D122" s="5" t="s">
        <v>10</v>
      </c>
      <c r="E122" s="6"/>
      <c r="F122" s="6"/>
      <c r="G122" s="6"/>
    </row>
    <row r="123" spans="1:7" s="4" customFormat="1" ht="9.75" x14ac:dyDescent="0.2">
      <c r="A123" s="19">
        <v>1</v>
      </c>
      <c r="B123" s="19" t="s">
        <v>146</v>
      </c>
      <c r="C123" s="8">
        <v>-154157</v>
      </c>
      <c r="D123" s="8">
        <v>-713218.5</v>
      </c>
      <c r="E123" s="6"/>
      <c r="F123" s="6"/>
      <c r="G123" s="6"/>
    </row>
    <row r="124" spans="1:7" s="4" customFormat="1" ht="9.75" x14ac:dyDescent="0.2">
      <c r="A124" s="19">
        <v>2</v>
      </c>
      <c r="B124" s="19" t="s">
        <v>147</v>
      </c>
      <c r="C124" s="5" t="s">
        <v>10</v>
      </c>
      <c r="D124" s="8">
        <v>-4516760</v>
      </c>
      <c r="E124" s="6"/>
      <c r="F124" s="6"/>
      <c r="G124" s="6"/>
    </row>
    <row r="125" spans="1:7" s="4" customFormat="1" x14ac:dyDescent="0.2">
      <c r="A125" s="19" t="s">
        <v>362</v>
      </c>
      <c r="B125" s="20"/>
      <c r="C125" s="8">
        <v>-154157</v>
      </c>
      <c r="D125" s="8">
        <v>-5229978.5</v>
      </c>
      <c r="E125" s="6"/>
      <c r="F125" s="6"/>
      <c r="G125" s="6"/>
    </row>
    <row r="126" spans="1:7" s="4" customFormat="1" x14ac:dyDescent="0.2">
      <c r="A126" s="19" t="s">
        <v>363</v>
      </c>
      <c r="B126" s="20"/>
      <c r="C126" s="5" t="s">
        <v>10</v>
      </c>
      <c r="D126" s="5" t="s">
        <v>10</v>
      </c>
      <c r="E126" s="6"/>
      <c r="F126" s="6"/>
      <c r="G126" s="6"/>
    </row>
    <row r="127" spans="1:7" s="4" customFormat="1" ht="9.75" x14ac:dyDescent="0.2">
      <c r="A127" s="19">
        <v>1</v>
      </c>
      <c r="B127" s="19" t="s">
        <v>150</v>
      </c>
      <c r="C127" s="8">
        <v>-968183</v>
      </c>
      <c r="D127" s="8">
        <v>-14322517</v>
      </c>
      <c r="E127" s="6"/>
      <c r="F127" s="6"/>
      <c r="G127" s="6"/>
    </row>
    <row r="128" spans="1:7" s="4" customFormat="1" ht="9.75" x14ac:dyDescent="0.2">
      <c r="A128" s="19">
        <v>2</v>
      </c>
      <c r="B128" s="19" t="s">
        <v>28</v>
      </c>
      <c r="C128" s="8">
        <v>-20240</v>
      </c>
      <c r="D128" s="8">
        <v>-665800</v>
      </c>
      <c r="E128" s="6"/>
      <c r="F128" s="6"/>
      <c r="G128" s="6"/>
    </row>
    <row r="129" spans="1:7" s="4" customFormat="1" x14ac:dyDescent="0.2">
      <c r="A129" s="19" t="s">
        <v>364</v>
      </c>
      <c r="B129" s="20"/>
      <c r="C129" s="8">
        <v>-988423</v>
      </c>
      <c r="D129" s="8">
        <v>-14988317</v>
      </c>
      <c r="E129" s="6"/>
      <c r="F129" s="6"/>
      <c r="G129" s="6"/>
    </row>
    <row r="130" spans="1:7" s="4" customFormat="1" x14ac:dyDescent="0.2">
      <c r="A130" s="19" t="s">
        <v>365</v>
      </c>
      <c r="B130" s="20"/>
      <c r="C130" s="5" t="s">
        <v>10</v>
      </c>
      <c r="D130" s="5" t="s">
        <v>10</v>
      </c>
      <c r="E130" s="6"/>
      <c r="F130" s="6"/>
      <c r="G130" s="6"/>
    </row>
    <row r="131" spans="1:7" s="4" customFormat="1" ht="9.75" x14ac:dyDescent="0.2">
      <c r="A131" s="19">
        <v>1</v>
      </c>
      <c r="B131" s="19" t="s">
        <v>153</v>
      </c>
      <c r="C131" s="8">
        <v>-349900</v>
      </c>
      <c r="D131" s="8">
        <v>-3708543</v>
      </c>
      <c r="E131" s="6"/>
      <c r="F131" s="6"/>
      <c r="G131" s="6"/>
    </row>
    <row r="132" spans="1:7" s="4" customFormat="1" ht="9.75" x14ac:dyDescent="0.2">
      <c r="A132" s="19">
        <v>2</v>
      </c>
      <c r="B132" s="19" t="s">
        <v>154</v>
      </c>
      <c r="C132" s="8">
        <v>-79238.720000000001</v>
      </c>
      <c r="D132" s="8">
        <v>-401556.49</v>
      </c>
      <c r="E132" s="6"/>
      <c r="F132" s="6"/>
      <c r="G132" s="6"/>
    </row>
    <row r="133" spans="1:7" s="4" customFormat="1" ht="9.75" x14ac:dyDescent="0.2">
      <c r="A133" s="19">
        <v>3</v>
      </c>
      <c r="B133" s="19" t="s">
        <v>155</v>
      </c>
      <c r="C133" s="8">
        <v>-50000</v>
      </c>
      <c r="D133" s="8">
        <v>-600000</v>
      </c>
      <c r="E133" s="6"/>
      <c r="F133" s="6"/>
      <c r="G133" s="6"/>
    </row>
    <row r="134" spans="1:7" s="4" customFormat="1" ht="9.75" x14ac:dyDescent="0.2">
      <c r="A134" s="19">
        <v>4</v>
      </c>
      <c r="B134" s="19" t="s">
        <v>156</v>
      </c>
      <c r="C134" s="8">
        <v>-49927</v>
      </c>
      <c r="D134" s="8">
        <v>-337725.51</v>
      </c>
      <c r="E134" s="6"/>
      <c r="F134" s="6"/>
      <c r="G134" s="6"/>
    </row>
    <row r="135" spans="1:7" s="4" customFormat="1" ht="9.75" x14ac:dyDescent="0.2">
      <c r="A135" s="19">
        <v>5</v>
      </c>
      <c r="B135" s="19" t="s">
        <v>157</v>
      </c>
      <c r="C135" s="8">
        <v>-44900</v>
      </c>
      <c r="D135" s="8">
        <v>-529038</v>
      </c>
      <c r="E135" s="6"/>
      <c r="F135" s="6"/>
      <c r="G135" s="6"/>
    </row>
    <row r="136" spans="1:7" s="4" customFormat="1" ht="9.75" x14ac:dyDescent="0.2">
      <c r="A136" s="19">
        <v>6</v>
      </c>
      <c r="B136" s="19" t="s">
        <v>158</v>
      </c>
      <c r="C136" s="8">
        <v>-41572</v>
      </c>
      <c r="D136" s="8">
        <v>-481739</v>
      </c>
      <c r="E136" s="6"/>
      <c r="F136" s="6"/>
      <c r="G136" s="6"/>
    </row>
    <row r="137" spans="1:7" s="4" customFormat="1" ht="9.75" x14ac:dyDescent="0.2">
      <c r="A137" s="19">
        <v>7</v>
      </c>
      <c r="B137" s="19" t="s">
        <v>159</v>
      </c>
      <c r="C137" s="8">
        <v>-35265</v>
      </c>
      <c r="D137" s="8">
        <v>-473440.37</v>
      </c>
      <c r="E137" s="6"/>
      <c r="F137" s="6"/>
      <c r="G137" s="6"/>
    </row>
    <row r="138" spans="1:7" s="4" customFormat="1" ht="9.75" x14ac:dyDescent="0.2">
      <c r="A138" s="19">
        <v>8</v>
      </c>
      <c r="B138" s="19" t="s">
        <v>160</v>
      </c>
      <c r="C138" s="8">
        <v>-35000</v>
      </c>
      <c r="D138" s="8">
        <v>-383684</v>
      </c>
      <c r="E138" s="6"/>
      <c r="F138" s="6"/>
      <c r="G138" s="6"/>
    </row>
    <row r="139" spans="1:7" s="4" customFormat="1" ht="9.75" x14ac:dyDescent="0.2">
      <c r="A139" s="19">
        <v>9</v>
      </c>
      <c r="B139" s="19" t="s">
        <v>161</v>
      </c>
      <c r="C139" s="8">
        <v>-26064</v>
      </c>
      <c r="D139" s="8">
        <v>-74421</v>
      </c>
      <c r="E139" s="6"/>
      <c r="F139" s="6"/>
      <c r="G139" s="6"/>
    </row>
    <row r="140" spans="1:7" s="4" customFormat="1" ht="9.75" x14ac:dyDescent="0.2">
      <c r="A140" s="19">
        <v>10</v>
      </c>
      <c r="B140" s="19" t="s">
        <v>162</v>
      </c>
      <c r="C140" s="8">
        <v>-20725</v>
      </c>
      <c r="D140" s="8">
        <v>-243085</v>
      </c>
      <c r="E140" s="6"/>
      <c r="F140" s="6"/>
      <c r="G140" s="6"/>
    </row>
    <row r="141" spans="1:7" s="4" customFormat="1" ht="9.75" x14ac:dyDescent="0.2">
      <c r="A141" s="19">
        <v>11</v>
      </c>
      <c r="B141" s="19" t="s">
        <v>163</v>
      </c>
      <c r="C141" s="8">
        <v>-20125</v>
      </c>
      <c r="D141" s="8">
        <v>-241802</v>
      </c>
      <c r="E141" s="6"/>
      <c r="F141" s="6"/>
      <c r="G141" s="6"/>
    </row>
    <row r="142" spans="1:7" s="4" customFormat="1" ht="9.75" x14ac:dyDescent="0.2">
      <c r="A142" s="19">
        <v>12</v>
      </c>
      <c r="B142" s="19" t="s">
        <v>164</v>
      </c>
      <c r="C142" s="8">
        <v>-8800</v>
      </c>
      <c r="D142" s="8">
        <v>-50230</v>
      </c>
      <c r="E142" s="6"/>
      <c r="F142" s="6"/>
      <c r="G142" s="6"/>
    </row>
    <row r="143" spans="1:7" s="4" customFormat="1" ht="9.75" x14ac:dyDescent="0.2">
      <c r="A143" s="19">
        <v>13</v>
      </c>
      <c r="B143" s="19" t="s">
        <v>165</v>
      </c>
      <c r="C143" s="8">
        <v>-8500</v>
      </c>
      <c r="D143" s="8">
        <v>-100903</v>
      </c>
      <c r="E143" s="6"/>
      <c r="F143" s="6"/>
      <c r="G143" s="6"/>
    </row>
    <row r="144" spans="1:7" s="4" customFormat="1" ht="9.75" x14ac:dyDescent="0.2">
      <c r="A144" s="19">
        <v>14</v>
      </c>
      <c r="B144" s="19" t="s">
        <v>166</v>
      </c>
      <c r="C144" s="8">
        <v>-6000</v>
      </c>
      <c r="D144" s="8">
        <v>-63000</v>
      </c>
      <c r="E144" s="6"/>
      <c r="F144" s="6"/>
      <c r="G144" s="6"/>
    </row>
    <row r="145" spans="1:7" s="4" customFormat="1" ht="9.75" x14ac:dyDescent="0.2">
      <c r="A145" s="19">
        <v>15</v>
      </c>
      <c r="B145" s="19" t="s">
        <v>167</v>
      </c>
      <c r="C145" s="5" t="s">
        <v>10</v>
      </c>
      <c r="D145" s="8">
        <v>-125063</v>
      </c>
      <c r="E145" s="6"/>
      <c r="F145" s="6"/>
      <c r="G145" s="6"/>
    </row>
    <row r="146" spans="1:7" s="4" customFormat="1" ht="9.75" x14ac:dyDescent="0.2">
      <c r="A146" s="19">
        <v>16</v>
      </c>
      <c r="B146" s="19" t="s">
        <v>168</v>
      </c>
      <c r="C146" s="5" t="s">
        <v>10</v>
      </c>
      <c r="D146" s="8">
        <v>-24000</v>
      </c>
      <c r="E146" s="6"/>
      <c r="F146" s="6"/>
      <c r="G146" s="6"/>
    </row>
    <row r="147" spans="1:7" s="4" customFormat="1" ht="9.75" x14ac:dyDescent="0.2">
      <c r="A147" s="19">
        <v>17</v>
      </c>
      <c r="B147" s="19" t="s">
        <v>169</v>
      </c>
      <c r="C147" s="5" t="s">
        <v>10</v>
      </c>
      <c r="D147" s="8">
        <v>-15000</v>
      </c>
      <c r="E147" s="6"/>
      <c r="F147" s="6"/>
      <c r="G147" s="6"/>
    </row>
    <row r="148" spans="1:7" s="4" customFormat="1" ht="9.75" x14ac:dyDescent="0.2">
      <c r="A148" s="19">
        <v>18</v>
      </c>
      <c r="B148" s="19" t="s">
        <v>170</v>
      </c>
      <c r="C148" s="5" t="s">
        <v>10</v>
      </c>
      <c r="D148" s="8">
        <v>-16943</v>
      </c>
      <c r="E148" s="6"/>
      <c r="F148" s="6"/>
      <c r="G148" s="6"/>
    </row>
    <row r="149" spans="1:7" s="4" customFormat="1" ht="9.75" x14ac:dyDescent="0.2">
      <c r="A149" s="19">
        <v>19</v>
      </c>
      <c r="B149" s="19" t="s">
        <v>171</v>
      </c>
      <c r="C149" s="5" t="s">
        <v>10</v>
      </c>
      <c r="D149" s="8">
        <v>-145764</v>
      </c>
      <c r="E149" s="6"/>
      <c r="F149" s="6"/>
      <c r="G149" s="6"/>
    </row>
    <row r="150" spans="1:7" s="4" customFormat="1" ht="9.75" x14ac:dyDescent="0.2">
      <c r="A150" s="19">
        <v>20</v>
      </c>
      <c r="B150" s="19" t="s">
        <v>172</v>
      </c>
      <c r="C150" s="5" t="s">
        <v>10</v>
      </c>
      <c r="D150" s="8">
        <v>-27000</v>
      </c>
      <c r="E150" s="6"/>
      <c r="F150" s="6"/>
      <c r="G150" s="6"/>
    </row>
    <row r="151" spans="1:7" s="4" customFormat="1" x14ac:dyDescent="0.2">
      <c r="A151" s="19" t="s">
        <v>366</v>
      </c>
      <c r="B151" s="20"/>
      <c r="C151" s="8">
        <v>-776016.72</v>
      </c>
      <c r="D151" s="8">
        <v>-8042937.3700000001</v>
      </c>
      <c r="E151" s="6"/>
      <c r="F151" s="6"/>
      <c r="G151" s="6"/>
    </row>
    <row r="152" spans="1:7" s="4" customFormat="1" x14ac:dyDescent="0.2">
      <c r="A152" s="19" t="s">
        <v>367</v>
      </c>
      <c r="B152" s="20"/>
      <c r="C152" s="5" t="s">
        <v>10</v>
      </c>
      <c r="D152" s="5" t="s">
        <v>10</v>
      </c>
      <c r="E152" s="6"/>
      <c r="F152" s="6"/>
      <c r="G152" s="6"/>
    </row>
    <row r="153" spans="1:7" s="4" customFormat="1" ht="9.75" x14ac:dyDescent="0.2">
      <c r="A153" s="19">
        <v>1</v>
      </c>
      <c r="B153" s="19" t="s">
        <v>175</v>
      </c>
      <c r="C153" s="8">
        <v>-3280</v>
      </c>
      <c r="D153" s="8">
        <v>-30132</v>
      </c>
      <c r="E153" s="6"/>
      <c r="F153" s="6"/>
      <c r="G153" s="6"/>
    </row>
    <row r="154" spans="1:7" s="4" customFormat="1" ht="9.75" x14ac:dyDescent="0.2">
      <c r="A154" s="19">
        <v>2</v>
      </c>
      <c r="B154" s="19" t="s">
        <v>176</v>
      </c>
      <c r="C154" s="8">
        <v>-2400</v>
      </c>
      <c r="D154" s="8">
        <v>-34178</v>
      </c>
      <c r="E154" s="6"/>
      <c r="F154" s="6"/>
      <c r="G154" s="6"/>
    </row>
    <row r="155" spans="1:7" s="4" customFormat="1" ht="9.75" x14ac:dyDescent="0.2">
      <c r="A155" s="19">
        <v>3</v>
      </c>
      <c r="B155" s="19" t="s">
        <v>177</v>
      </c>
      <c r="C155" s="5" t="s">
        <v>10</v>
      </c>
      <c r="D155" s="8">
        <v>-1500</v>
      </c>
      <c r="E155" s="6"/>
      <c r="F155" s="6"/>
      <c r="G155" s="6"/>
    </row>
    <row r="156" spans="1:7" s="4" customFormat="1" ht="9.75" x14ac:dyDescent="0.2">
      <c r="A156" s="19">
        <v>4</v>
      </c>
      <c r="B156" s="19" t="s">
        <v>178</v>
      </c>
      <c r="C156" s="5" t="s">
        <v>10</v>
      </c>
      <c r="D156" s="8">
        <v>-30000</v>
      </c>
      <c r="E156" s="6"/>
      <c r="F156" s="6"/>
      <c r="G156" s="6"/>
    </row>
    <row r="157" spans="1:7" s="4" customFormat="1" ht="9.75" x14ac:dyDescent="0.2">
      <c r="A157" s="19">
        <v>5</v>
      </c>
      <c r="B157" s="19" t="s">
        <v>179</v>
      </c>
      <c r="C157" s="5" t="s">
        <v>10</v>
      </c>
      <c r="D157" s="8">
        <v>-22800</v>
      </c>
      <c r="E157" s="6"/>
      <c r="F157" s="6"/>
      <c r="G157" s="6"/>
    </row>
    <row r="158" spans="1:7" s="4" customFormat="1" ht="9.75" x14ac:dyDescent="0.2">
      <c r="A158" s="19">
        <v>6</v>
      </c>
      <c r="B158" s="19" t="s">
        <v>180</v>
      </c>
      <c r="C158" s="5" t="s">
        <v>10</v>
      </c>
      <c r="D158" s="8">
        <v>-27720</v>
      </c>
      <c r="E158" s="6"/>
      <c r="F158" s="6"/>
      <c r="G158" s="6"/>
    </row>
    <row r="159" spans="1:7" s="4" customFormat="1" ht="9.75" x14ac:dyDescent="0.2">
      <c r="A159" s="19">
        <v>7</v>
      </c>
      <c r="B159" s="19" t="s">
        <v>181</v>
      </c>
      <c r="C159" s="5" t="s">
        <v>10</v>
      </c>
      <c r="D159" s="8">
        <v>-32640</v>
      </c>
      <c r="E159" s="6"/>
      <c r="F159" s="6"/>
      <c r="G159" s="6"/>
    </row>
    <row r="160" spans="1:7" s="4" customFormat="1" ht="9.75" x14ac:dyDescent="0.2">
      <c r="A160" s="19">
        <v>8</v>
      </c>
      <c r="B160" s="19" t="s">
        <v>182</v>
      </c>
      <c r="C160" s="5" t="s">
        <v>10</v>
      </c>
      <c r="D160" s="8">
        <v>-2700</v>
      </c>
      <c r="E160" s="6"/>
      <c r="F160" s="6"/>
      <c r="G160" s="6"/>
    </row>
    <row r="161" spans="1:7" s="4" customFormat="1" ht="9.75" x14ac:dyDescent="0.2">
      <c r="A161" s="19">
        <v>9</v>
      </c>
      <c r="B161" s="19" t="s">
        <v>183</v>
      </c>
      <c r="C161" s="5" t="s">
        <v>10</v>
      </c>
      <c r="D161" s="8">
        <v>-13800</v>
      </c>
      <c r="E161" s="6"/>
      <c r="F161" s="6"/>
      <c r="G161" s="6"/>
    </row>
    <row r="162" spans="1:7" s="4" customFormat="1" ht="9.75" x14ac:dyDescent="0.2">
      <c r="A162" s="19">
        <v>10</v>
      </c>
      <c r="B162" s="19" t="s">
        <v>184</v>
      </c>
      <c r="C162" s="5" t="s">
        <v>10</v>
      </c>
      <c r="D162" s="8">
        <v>-14983</v>
      </c>
      <c r="E162" s="6"/>
      <c r="F162" s="6"/>
      <c r="G162" s="6"/>
    </row>
    <row r="163" spans="1:7" s="4" customFormat="1" x14ac:dyDescent="0.2">
      <c r="A163" s="19" t="s">
        <v>368</v>
      </c>
      <c r="B163" s="20"/>
      <c r="C163" s="8">
        <v>-5680</v>
      </c>
      <c r="D163" s="8">
        <v>-210453</v>
      </c>
      <c r="E163" s="6"/>
      <c r="F163" s="6"/>
      <c r="G163" s="6"/>
    </row>
    <row r="164" spans="1:7" s="4" customFormat="1" x14ac:dyDescent="0.2">
      <c r="A164" s="19" t="s">
        <v>369</v>
      </c>
      <c r="B164" s="20"/>
      <c r="C164" s="5" t="s">
        <v>10</v>
      </c>
      <c r="D164" s="5" t="s">
        <v>10</v>
      </c>
      <c r="E164" s="6"/>
      <c r="F164" s="6"/>
      <c r="G164" s="6"/>
    </row>
    <row r="165" spans="1:7" s="4" customFormat="1" ht="9.75" x14ac:dyDescent="0.2">
      <c r="A165" s="19">
        <v>1</v>
      </c>
      <c r="B165" s="19" t="s">
        <v>187</v>
      </c>
      <c r="C165" s="5" t="s">
        <v>10</v>
      </c>
      <c r="D165" s="8">
        <v>-50000</v>
      </c>
      <c r="E165" s="6"/>
      <c r="F165" s="6"/>
      <c r="G165" s="6"/>
    </row>
    <row r="166" spans="1:7" s="4" customFormat="1" ht="9.75" x14ac:dyDescent="0.2">
      <c r="A166" s="19">
        <v>2</v>
      </c>
      <c r="B166" s="19" t="s">
        <v>188</v>
      </c>
      <c r="C166" s="5" t="s">
        <v>10</v>
      </c>
      <c r="D166" s="8">
        <v>-66880</v>
      </c>
      <c r="E166" s="6"/>
      <c r="F166" s="6"/>
      <c r="G166" s="6"/>
    </row>
    <row r="167" spans="1:7" s="4" customFormat="1" x14ac:dyDescent="0.2">
      <c r="A167" s="19" t="s">
        <v>370</v>
      </c>
      <c r="B167" s="20"/>
      <c r="C167" s="5" t="s">
        <v>10</v>
      </c>
      <c r="D167" s="8">
        <v>-116880</v>
      </c>
      <c r="E167" s="6"/>
      <c r="F167" s="6"/>
      <c r="G167" s="6"/>
    </row>
    <row r="168" spans="1:7" s="4" customFormat="1" x14ac:dyDescent="0.2">
      <c r="A168" s="19" t="s">
        <v>371</v>
      </c>
      <c r="B168" s="20"/>
      <c r="C168" s="5" t="s">
        <v>10</v>
      </c>
      <c r="D168" s="5" t="s">
        <v>10</v>
      </c>
      <c r="E168" s="6"/>
      <c r="F168" s="6"/>
      <c r="G168" s="6"/>
    </row>
    <row r="169" spans="1:7" s="4" customFormat="1" ht="9.75" x14ac:dyDescent="0.2">
      <c r="A169" s="19">
        <v>1</v>
      </c>
      <c r="B169" s="19" t="s">
        <v>191</v>
      </c>
      <c r="C169" s="8">
        <v>-215134</v>
      </c>
      <c r="D169" s="8">
        <v>-215134</v>
      </c>
      <c r="E169" s="6"/>
      <c r="F169" s="6"/>
      <c r="G169" s="6"/>
    </row>
    <row r="170" spans="1:7" s="4" customFormat="1" ht="9.75" x14ac:dyDescent="0.2">
      <c r="A170" s="19">
        <v>2</v>
      </c>
      <c r="B170" s="19" t="s">
        <v>192</v>
      </c>
      <c r="C170" s="8">
        <v>-52025</v>
      </c>
      <c r="D170" s="8">
        <v>-305565.23</v>
      </c>
      <c r="E170" s="6"/>
      <c r="F170" s="6"/>
      <c r="G170" s="6"/>
    </row>
    <row r="171" spans="1:7" s="4" customFormat="1" ht="9.75" x14ac:dyDescent="0.2">
      <c r="A171" s="19">
        <v>3</v>
      </c>
      <c r="B171" s="19" t="s">
        <v>193</v>
      </c>
      <c r="C171" s="8">
        <v>-41804.49</v>
      </c>
      <c r="D171" s="8">
        <v>-593084.65</v>
      </c>
      <c r="E171" s="6"/>
      <c r="F171" s="6"/>
      <c r="G171" s="6"/>
    </row>
    <row r="172" spans="1:7" s="4" customFormat="1" ht="9.75" x14ac:dyDescent="0.2">
      <c r="A172" s="19">
        <v>4</v>
      </c>
      <c r="B172" s="19" t="s">
        <v>194</v>
      </c>
      <c r="C172" s="8">
        <v>-32960</v>
      </c>
      <c r="D172" s="8">
        <v>-547634</v>
      </c>
      <c r="E172" s="6"/>
      <c r="F172" s="6"/>
      <c r="G172" s="6"/>
    </row>
    <row r="173" spans="1:7" s="4" customFormat="1" ht="9.75" x14ac:dyDescent="0.2">
      <c r="A173" s="19">
        <v>5</v>
      </c>
      <c r="B173" s="19" t="s">
        <v>195</v>
      </c>
      <c r="C173" s="9">
        <v>-491.93</v>
      </c>
      <c r="D173" s="8">
        <v>-19465.93</v>
      </c>
      <c r="E173" s="6"/>
      <c r="F173" s="6"/>
      <c r="G173" s="6"/>
    </row>
    <row r="174" spans="1:7" s="4" customFormat="1" ht="9.75" x14ac:dyDescent="0.2">
      <c r="A174" s="19">
        <v>6</v>
      </c>
      <c r="B174" s="19" t="s">
        <v>196</v>
      </c>
      <c r="C174" s="9">
        <v>-230</v>
      </c>
      <c r="D174" s="8">
        <v>-8120</v>
      </c>
      <c r="E174" s="6"/>
      <c r="F174" s="6"/>
      <c r="G174" s="6"/>
    </row>
    <row r="175" spans="1:7" s="4" customFormat="1" ht="9.75" x14ac:dyDescent="0.2">
      <c r="A175" s="19">
        <v>7</v>
      </c>
      <c r="B175" s="19" t="s">
        <v>197</v>
      </c>
      <c r="C175" s="5" t="s">
        <v>10</v>
      </c>
      <c r="D175" s="8">
        <v>-489582.08000000002</v>
      </c>
      <c r="E175" s="6"/>
      <c r="F175" s="6"/>
      <c r="G175" s="6"/>
    </row>
    <row r="176" spans="1:7" s="4" customFormat="1" ht="9.75" x14ac:dyDescent="0.2">
      <c r="A176" s="19">
        <v>8</v>
      </c>
      <c r="B176" s="19" t="s">
        <v>198</v>
      </c>
      <c r="C176" s="5" t="s">
        <v>10</v>
      </c>
      <c r="D176" s="8">
        <v>-74663.899999999994</v>
      </c>
      <c r="E176" s="6"/>
      <c r="F176" s="6"/>
      <c r="G176" s="6"/>
    </row>
    <row r="177" spans="1:7" s="4" customFormat="1" x14ac:dyDescent="0.2">
      <c r="A177" s="19" t="s">
        <v>372</v>
      </c>
      <c r="B177" s="20"/>
      <c r="C177" s="8">
        <v>-342645.42</v>
      </c>
      <c r="D177" s="8">
        <v>-2253249.79</v>
      </c>
      <c r="E177" s="6"/>
      <c r="F177" s="6"/>
      <c r="G177" s="6"/>
    </row>
    <row r="178" spans="1:7" s="4" customFormat="1" x14ac:dyDescent="0.2">
      <c r="A178" s="19" t="s">
        <v>373</v>
      </c>
      <c r="B178" s="20"/>
      <c r="C178" s="5" t="s">
        <v>10</v>
      </c>
      <c r="D178" s="5" t="s">
        <v>10</v>
      </c>
      <c r="E178" s="6"/>
      <c r="F178" s="6"/>
      <c r="G178" s="6"/>
    </row>
    <row r="179" spans="1:7" s="4" customFormat="1" ht="9.75" x14ac:dyDescent="0.2">
      <c r="A179" s="19">
        <v>1</v>
      </c>
      <c r="B179" s="19" t="s">
        <v>201</v>
      </c>
      <c r="C179" s="8">
        <v>-25329.599999999999</v>
      </c>
      <c r="D179" s="8">
        <v>-326398.96000000002</v>
      </c>
      <c r="E179" s="6"/>
      <c r="F179" s="6"/>
      <c r="G179" s="6"/>
    </row>
    <row r="180" spans="1:7" s="4" customFormat="1" ht="9.75" x14ac:dyDescent="0.2">
      <c r="A180" s="19">
        <v>2</v>
      </c>
      <c r="B180" s="19" t="s">
        <v>202</v>
      </c>
      <c r="C180" s="8">
        <v>-15000</v>
      </c>
      <c r="D180" s="8">
        <v>-180000</v>
      </c>
      <c r="E180" s="6"/>
      <c r="F180" s="6"/>
      <c r="G180" s="6"/>
    </row>
    <row r="181" spans="1:7" s="4" customFormat="1" ht="9.75" x14ac:dyDescent="0.2">
      <c r="A181" s="19">
        <v>3</v>
      </c>
      <c r="B181" s="19" t="s">
        <v>203</v>
      </c>
      <c r="C181" s="8">
        <v>-15000</v>
      </c>
      <c r="D181" s="8">
        <v>-240230</v>
      </c>
      <c r="E181" s="6"/>
      <c r="F181" s="6"/>
      <c r="G181" s="6"/>
    </row>
    <row r="182" spans="1:7" s="4" customFormat="1" ht="9.75" x14ac:dyDescent="0.2">
      <c r="A182" s="19">
        <v>4</v>
      </c>
      <c r="B182" s="19" t="s">
        <v>204</v>
      </c>
      <c r="C182" s="8">
        <v>-15000</v>
      </c>
      <c r="D182" s="8">
        <v>-54846</v>
      </c>
      <c r="E182" s="6"/>
      <c r="F182" s="6"/>
      <c r="G182" s="6"/>
    </row>
    <row r="183" spans="1:7" s="4" customFormat="1" ht="9.75" x14ac:dyDescent="0.2">
      <c r="A183" s="19">
        <v>5</v>
      </c>
      <c r="B183" s="19" t="s">
        <v>205</v>
      </c>
      <c r="C183" s="8">
        <v>-14000</v>
      </c>
      <c r="D183" s="8">
        <v>-14500</v>
      </c>
      <c r="E183" s="6"/>
      <c r="F183" s="6"/>
      <c r="G183" s="6"/>
    </row>
    <row r="184" spans="1:7" s="4" customFormat="1" ht="9.75" x14ac:dyDescent="0.2">
      <c r="A184" s="19">
        <v>6</v>
      </c>
      <c r="B184" s="19" t="s">
        <v>206</v>
      </c>
      <c r="C184" s="8">
        <v>-8606</v>
      </c>
      <c r="D184" s="8">
        <v>-84291</v>
      </c>
      <c r="E184" s="6"/>
      <c r="F184" s="6"/>
      <c r="G184" s="6"/>
    </row>
    <row r="185" spans="1:7" s="4" customFormat="1" ht="9.75" x14ac:dyDescent="0.2">
      <c r="A185" s="19">
        <v>7</v>
      </c>
      <c r="B185" s="19" t="s">
        <v>207</v>
      </c>
      <c r="C185" s="8">
        <v>-7975</v>
      </c>
      <c r="D185" s="8">
        <v>-7975</v>
      </c>
      <c r="E185" s="6"/>
      <c r="F185" s="6"/>
      <c r="G185" s="6"/>
    </row>
    <row r="186" spans="1:7" s="4" customFormat="1" ht="9.75" x14ac:dyDescent="0.2">
      <c r="A186" s="19">
        <v>8</v>
      </c>
      <c r="B186" s="19" t="s">
        <v>208</v>
      </c>
      <c r="C186" s="8">
        <v>-6615</v>
      </c>
      <c r="D186" s="8">
        <v>-48895</v>
      </c>
      <c r="E186" s="6"/>
      <c r="F186" s="6"/>
      <c r="G186" s="6"/>
    </row>
    <row r="187" spans="1:7" s="4" customFormat="1" ht="9.75" x14ac:dyDescent="0.2">
      <c r="A187" s="19">
        <v>9</v>
      </c>
      <c r="B187" s="19" t="s">
        <v>209</v>
      </c>
      <c r="C187" s="8">
        <v>-6445.14</v>
      </c>
      <c r="D187" s="8">
        <v>-71944.75</v>
      </c>
      <c r="E187" s="6"/>
      <c r="F187" s="6"/>
      <c r="G187" s="6"/>
    </row>
    <row r="188" spans="1:7" s="4" customFormat="1" ht="9.75" x14ac:dyDescent="0.2">
      <c r="A188" s="19">
        <v>10</v>
      </c>
      <c r="B188" s="19" t="s">
        <v>210</v>
      </c>
      <c r="C188" s="8">
        <v>-5250</v>
      </c>
      <c r="D188" s="8">
        <v>-22628.04</v>
      </c>
      <c r="E188" s="6"/>
      <c r="F188" s="6"/>
      <c r="G188" s="6"/>
    </row>
    <row r="189" spans="1:7" s="4" customFormat="1" ht="9.75" x14ac:dyDescent="0.2">
      <c r="A189" s="19">
        <v>11</v>
      </c>
      <c r="B189" s="19" t="s">
        <v>211</v>
      </c>
      <c r="C189" s="8">
        <v>-4956</v>
      </c>
      <c r="D189" s="8">
        <v>-154684.25</v>
      </c>
      <c r="E189" s="6"/>
      <c r="F189" s="6"/>
      <c r="G189" s="6"/>
    </row>
    <row r="190" spans="1:7" s="4" customFormat="1" ht="9.75" x14ac:dyDescent="0.2">
      <c r="A190" s="19">
        <v>12</v>
      </c>
      <c r="B190" s="19" t="s">
        <v>212</v>
      </c>
      <c r="C190" s="8">
        <v>-4000</v>
      </c>
      <c r="D190" s="8">
        <v>-48000</v>
      </c>
      <c r="E190" s="6"/>
      <c r="F190" s="6"/>
      <c r="G190" s="6"/>
    </row>
    <row r="191" spans="1:7" s="4" customFormat="1" ht="9.75" x14ac:dyDescent="0.2">
      <c r="A191" s="19">
        <v>13</v>
      </c>
      <c r="B191" s="19" t="s">
        <v>213</v>
      </c>
      <c r="C191" s="8">
        <v>-3974</v>
      </c>
      <c r="D191" s="8">
        <v>-50962</v>
      </c>
      <c r="E191" s="6"/>
      <c r="F191" s="6"/>
      <c r="G191" s="6"/>
    </row>
    <row r="192" spans="1:7" s="4" customFormat="1" ht="9.75" x14ac:dyDescent="0.2">
      <c r="A192" s="19">
        <v>14</v>
      </c>
      <c r="B192" s="19" t="s">
        <v>214</v>
      </c>
      <c r="C192" s="8">
        <v>-3800</v>
      </c>
      <c r="D192" s="8">
        <v>-30800</v>
      </c>
      <c r="E192" s="6"/>
      <c r="F192" s="6"/>
      <c r="G192" s="6"/>
    </row>
    <row r="193" spans="1:7" s="4" customFormat="1" ht="9.75" x14ac:dyDescent="0.2">
      <c r="A193" s="19">
        <v>15</v>
      </c>
      <c r="B193" s="19" t="s">
        <v>215</v>
      </c>
      <c r="C193" s="8">
        <v>-3489</v>
      </c>
      <c r="D193" s="8">
        <v>-60639.3</v>
      </c>
      <c r="E193" s="6"/>
      <c r="F193" s="6"/>
      <c r="G193" s="6"/>
    </row>
    <row r="194" spans="1:7" s="4" customFormat="1" ht="9.75" x14ac:dyDescent="0.2">
      <c r="A194" s="19">
        <v>16</v>
      </c>
      <c r="B194" s="19" t="s">
        <v>216</v>
      </c>
      <c r="C194" s="8">
        <v>-3250</v>
      </c>
      <c r="D194" s="8">
        <v>-31563</v>
      </c>
      <c r="E194" s="6"/>
      <c r="F194" s="6"/>
      <c r="G194" s="6"/>
    </row>
    <row r="195" spans="1:7" s="4" customFormat="1" ht="9.75" x14ac:dyDescent="0.2">
      <c r="A195" s="19">
        <v>17</v>
      </c>
      <c r="B195" s="19" t="s">
        <v>217</v>
      </c>
      <c r="C195" s="8">
        <v>-3135.85</v>
      </c>
      <c r="D195" s="8">
        <v>-23455.85</v>
      </c>
      <c r="E195" s="6"/>
      <c r="F195" s="6"/>
      <c r="G195" s="6"/>
    </row>
    <row r="196" spans="1:7" s="4" customFormat="1" ht="9.75" x14ac:dyDescent="0.2">
      <c r="A196" s="19">
        <v>18</v>
      </c>
      <c r="B196" s="19" t="s">
        <v>218</v>
      </c>
      <c r="C196" s="8">
        <v>-2700</v>
      </c>
      <c r="D196" s="8">
        <v>-8600</v>
      </c>
      <c r="E196" s="6"/>
      <c r="F196" s="6"/>
      <c r="G196" s="6"/>
    </row>
    <row r="197" spans="1:7" s="4" customFormat="1" ht="9.75" x14ac:dyDescent="0.2">
      <c r="A197" s="19">
        <v>19</v>
      </c>
      <c r="B197" s="19" t="s">
        <v>219</v>
      </c>
      <c r="C197" s="8">
        <v>-2305</v>
      </c>
      <c r="D197" s="8">
        <v>-30855</v>
      </c>
      <c r="E197" s="6"/>
      <c r="F197" s="6"/>
      <c r="G197" s="6"/>
    </row>
    <row r="198" spans="1:7" s="4" customFormat="1" ht="9.75" x14ac:dyDescent="0.2">
      <c r="A198" s="19">
        <v>20</v>
      </c>
      <c r="B198" s="19" t="s">
        <v>220</v>
      </c>
      <c r="C198" s="8">
        <v>-1739</v>
      </c>
      <c r="D198" s="8">
        <v>-2026</v>
      </c>
      <c r="E198" s="6"/>
      <c r="F198" s="6"/>
      <c r="G198" s="6"/>
    </row>
    <row r="199" spans="1:7" s="4" customFormat="1" ht="9.75" x14ac:dyDescent="0.2">
      <c r="A199" s="19">
        <v>21</v>
      </c>
      <c r="B199" s="19" t="s">
        <v>222</v>
      </c>
      <c r="C199" s="8">
        <v>-1595</v>
      </c>
      <c r="D199" s="8">
        <v>-15302.5</v>
      </c>
      <c r="E199" s="6"/>
      <c r="F199" s="6"/>
      <c r="G199" s="6"/>
    </row>
    <row r="200" spans="1:7" s="4" customFormat="1" ht="9.75" x14ac:dyDescent="0.2">
      <c r="A200" s="19">
        <v>22</v>
      </c>
      <c r="B200" s="19" t="s">
        <v>224</v>
      </c>
      <c r="C200" s="8">
        <v>-1470</v>
      </c>
      <c r="D200" s="8">
        <v>-8939</v>
      </c>
      <c r="E200" s="6"/>
      <c r="F200" s="6"/>
      <c r="G200" s="6"/>
    </row>
    <row r="201" spans="1:7" s="4" customFormat="1" ht="9.75" x14ac:dyDescent="0.2">
      <c r="A201" s="19">
        <v>23</v>
      </c>
      <c r="B201" s="19" t="s">
        <v>226</v>
      </c>
      <c r="C201" s="8">
        <v>-1271</v>
      </c>
      <c r="D201" s="8">
        <v>-29155.07</v>
      </c>
      <c r="E201" s="6"/>
      <c r="F201" s="6"/>
      <c r="G201" s="6"/>
    </row>
    <row r="202" spans="1:7" s="4" customFormat="1" ht="9.75" x14ac:dyDescent="0.2">
      <c r="A202" s="19">
        <v>24</v>
      </c>
      <c r="B202" s="19" t="s">
        <v>228</v>
      </c>
      <c r="C202" s="9">
        <v>-525</v>
      </c>
      <c r="D202" s="8">
        <v>-2149</v>
      </c>
      <c r="E202" s="6"/>
      <c r="F202" s="6"/>
      <c r="G202" s="6"/>
    </row>
    <row r="203" spans="1:7" s="4" customFormat="1" ht="9.75" x14ac:dyDescent="0.2">
      <c r="A203" s="19">
        <v>25</v>
      </c>
      <c r="B203" s="19" t="s">
        <v>230</v>
      </c>
      <c r="C203" s="9">
        <v>-500</v>
      </c>
      <c r="D203" s="9">
        <v>-500</v>
      </c>
      <c r="E203" s="6"/>
      <c r="F203" s="6"/>
      <c r="G203" s="6"/>
    </row>
    <row r="204" spans="1:7" s="4" customFormat="1" ht="9.75" x14ac:dyDescent="0.2">
      <c r="A204" s="19">
        <v>26</v>
      </c>
      <c r="B204" s="19" t="s">
        <v>232</v>
      </c>
      <c r="C204" s="5" t="s">
        <v>10</v>
      </c>
      <c r="D204" s="8">
        <v>-3300</v>
      </c>
      <c r="E204" s="6"/>
      <c r="F204" s="6"/>
      <c r="G204" s="6"/>
    </row>
    <row r="205" spans="1:7" s="4" customFormat="1" ht="9.75" x14ac:dyDescent="0.2">
      <c r="A205" s="19">
        <v>27</v>
      </c>
      <c r="B205" s="19" t="s">
        <v>234</v>
      </c>
      <c r="C205" s="5" t="s">
        <v>10</v>
      </c>
      <c r="D205" s="8">
        <v>-1998</v>
      </c>
      <c r="E205" s="6"/>
      <c r="F205" s="6"/>
      <c r="G205" s="6"/>
    </row>
    <row r="206" spans="1:7" s="4" customFormat="1" ht="9.75" x14ac:dyDescent="0.2">
      <c r="A206" s="19">
        <v>28</v>
      </c>
      <c r="B206" s="19" t="s">
        <v>236</v>
      </c>
      <c r="C206" s="5" t="s">
        <v>10</v>
      </c>
      <c r="D206" s="8">
        <v>-2400</v>
      </c>
      <c r="E206" s="6"/>
      <c r="F206" s="6"/>
      <c r="G206" s="6"/>
    </row>
    <row r="207" spans="1:7" s="4" customFormat="1" ht="9.75" x14ac:dyDescent="0.2">
      <c r="A207" s="19">
        <v>29</v>
      </c>
      <c r="B207" s="19" t="s">
        <v>238</v>
      </c>
      <c r="C207" s="5" t="s">
        <v>10</v>
      </c>
      <c r="D207" s="8">
        <v>-167913</v>
      </c>
      <c r="E207" s="6"/>
      <c r="F207" s="6"/>
      <c r="G207" s="6"/>
    </row>
    <row r="208" spans="1:7" s="4" customFormat="1" ht="9.75" x14ac:dyDescent="0.2">
      <c r="A208" s="19">
        <v>30</v>
      </c>
      <c r="B208" s="19" t="s">
        <v>240</v>
      </c>
      <c r="C208" s="5" t="s">
        <v>10</v>
      </c>
      <c r="D208" s="8">
        <v>-2560</v>
      </c>
      <c r="E208" s="6"/>
      <c r="F208" s="6"/>
      <c r="G208" s="6"/>
    </row>
    <row r="209" spans="1:7" s="4" customFormat="1" ht="9.75" x14ac:dyDescent="0.2">
      <c r="A209" s="19">
        <v>31</v>
      </c>
      <c r="B209" s="19" t="s">
        <v>242</v>
      </c>
      <c r="C209" s="5" t="s">
        <v>10</v>
      </c>
      <c r="D209" s="8">
        <v>-3024</v>
      </c>
      <c r="E209" s="6"/>
      <c r="F209" s="6"/>
      <c r="G209" s="6"/>
    </row>
    <row r="210" spans="1:7" s="4" customFormat="1" ht="9.75" x14ac:dyDescent="0.2">
      <c r="A210" s="19">
        <v>32</v>
      </c>
      <c r="B210" s="19" t="s">
        <v>244</v>
      </c>
      <c r="C210" s="5" t="s">
        <v>10</v>
      </c>
      <c r="D210" s="8">
        <v>-4909</v>
      </c>
      <c r="E210" s="6"/>
      <c r="F210" s="6"/>
      <c r="G210" s="6"/>
    </row>
    <row r="211" spans="1:7" s="4" customFormat="1" ht="9.75" x14ac:dyDescent="0.2">
      <c r="A211" s="19">
        <v>33</v>
      </c>
      <c r="B211" s="19" t="s">
        <v>246</v>
      </c>
      <c r="C211" s="5" t="s">
        <v>10</v>
      </c>
      <c r="D211" s="8">
        <v>-21000</v>
      </c>
      <c r="E211" s="6"/>
      <c r="F211" s="6"/>
      <c r="G211" s="6"/>
    </row>
    <row r="212" spans="1:7" s="4" customFormat="1" ht="9.75" x14ac:dyDescent="0.2">
      <c r="A212" s="19">
        <v>34</v>
      </c>
      <c r="B212" s="19" t="s">
        <v>248</v>
      </c>
      <c r="C212" s="5" t="s">
        <v>10</v>
      </c>
      <c r="D212" s="8">
        <v>-45887</v>
      </c>
      <c r="E212" s="6"/>
      <c r="F212" s="6"/>
      <c r="G212" s="6"/>
    </row>
    <row r="213" spans="1:7" s="4" customFormat="1" ht="9.75" x14ac:dyDescent="0.2">
      <c r="A213" s="19">
        <v>35</v>
      </c>
      <c r="B213" s="19" t="s">
        <v>250</v>
      </c>
      <c r="C213" s="5" t="s">
        <v>10</v>
      </c>
      <c r="D213" s="8">
        <v>-3925.56</v>
      </c>
      <c r="E213" s="6"/>
      <c r="F213" s="6"/>
      <c r="G213" s="6"/>
    </row>
    <row r="214" spans="1:7" s="4" customFormat="1" x14ac:dyDescent="0.2">
      <c r="A214" s="19" t="s">
        <v>374</v>
      </c>
      <c r="B214" s="20"/>
      <c r="C214" s="8">
        <v>-157930.59</v>
      </c>
      <c r="D214" s="8">
        <v>-1806256.28</v>
      </c>
      <c r="E214" s="6"/>
      <c r="F214" s="6"/>
      <c r="G214" s="6"/>
    </row>
    <row r="215" spans="1:7" s="4" customFormat="1" x14ac:dyDescent="0.2">
      <c r="A215" s="19" t="s">
        <v>375</v>
      </c>
      <c r="B215" s="20"/>
      <c r="C215" s="5" t="s">
        <v>10</v>
      </c>
      <c r="D215" s="5" t="s">
        <v>10</v>
      </c>
      <c r="E215" s="6"/>
      <c r="F215" s="6"/>
      <c r="G215" s="6"/>
    </row>
    <row r="216" spans="1:7" s="4" customFormat="1" ht="9.75" x14ac:dyDescent="0.2">
      <c r="A216" s="19">
        <v>1</v>
      </c>
      <c r="B216" s="19" t="s">
        <v>253</v>
      </c>
      <c r="C216" s="8">
        <v>-1000</v>
      </c>
      <c r="D216" s="8">
        <v>-191000</v>
      </c>
      <c r="E216" s="6"/>
      <c r="F216" s="6"/>
      <c r="G216" s="6"/>
    </row>
    <row r="217" spans="1:7" s="4" customFormat="1" ht="9.75" x14ac:dyDescent="0.2">
      <c r="A217" s="19">
        <v>2</v>
      </c>
      <c r="B217" s="19" t="s">
        <v>254</v>
      </c>
      <c r="C217" s="5" t="s">
        <v>10</v>
      </c>
      <c r="D217" s="8">
        <v>-401023.38</v>
      </c>
      <c r="E217" s="6"/>
      <c r="F217" s="6"/>
      <c r="G217" s="6"/>
    </row>
    <row r="218" spans="1:7" s="4" customFormat="1" ht="9.75" x14ac:dyDescent="0.2">
      <c r="A218" s="19">
        <v>3</v>
      </c>
      <c r="B218" s="19" t="s">
        <v>255</v>
      </c>
      <c r="C218" s="5" t="s">
        <v>10</v>
      </c>
      <c r="D218" s="8">
        <v>-13900</v>
      </c>
      <c r="E218" s="6"/>
      <c r="F218" s="6"/>
      <c r="G218" s="6"/>
    </row>
    <row r="219" spans="1:7" s="4" customFormat="1" ht="9.75" x14ac:dyDescent="0.2">
      <c r="A219" s="19">
        <v>4</v>
      </c>
      <c r="B219" s="19" t="s">
        <v>256</v>
      </c>
      <c r="C219" s="5" t="s">
        <v>10</v>
      </c>
      <c r="D219" s="8">
        <v>-2072.94</v>
      </c>
      <c r="E219" s="6"/>
      <c r="F219" s="6"/>
      <c r="G219" s="6"/>
    </row>
    <row r="220" spans="1:7" s="4" customFormat="1" ht="9.75" x14ac:dyDescent="0.2">
      <c r="A220" s="19">
        <v>5</v>
      </c>
      <c r="B220" s="19" t="s">
        <v>257</v>
      </c>
      <c r="C220" s="5" t="s">
        <v>10</v>
      </c>
      <c r="D220" s="8">
        <v>-3541163.09</v>
      </c>
      <c r="E220" s="6"/>
      <c r="F220" s="6"/>
      <c r="G220" s="6"/>
    </row>
    <row r="221" spans="1:7" s="4" customFormat="1" x14ac:dyDescent="0.2">
      <c r="A221" s="19" t="s">
        <v>376</v>
      </c>
      <c r="B221" s="20"/>
      <c r="C221" s="8">
        <v>-1000</v>
      </c>
      <c r="D221" s="8">
        <v>-4149159.41</v>
      </c>
      <c r="E221" s="6"/>
      <c r="F221" s="6"/>
      <c r="G221" s="6"/>
    </row>
    <row r="222" spans="1:7" s="4" customFormat="1" x14ac:dyDescent="0.2">
      <c r="A222" s="19" t="s">
        <v>377</v>
      </c>
      <c r="B222" s="20"/>
      <c r="C222" s="5" t="s">
        <v>10</v>
      </c>
      <c r="D222" s="5" t="s">
        <v>10</v>
      </c>
      <c r="E222" s="6"/>
      <c r="F222" s="6"/>
      <c r="G222" s="6"/>
    </row>
    <row r="223" spans="1:7" s="4" customFormat="1" ht="9.75" x14ac:dyDescent="0.2">
      <c r="A223" s="19">
        <v>1</v>
      </c>
      <c r="B223" s="19" t="s">
        <v>260</v>
      </c>
      <c r="C223" s="8">
        <v>-16000</v>
      </c>
      <c r="D223" s="8">
        <v>-225800</v>
      </c>
      <c r="E223" s="6"/>
      <c r="F223" s="6"/>
      <c r="G223" s="6"/>
    </row>
    <row r="224" spans="1:7" s="4" customFormat="1" ht="9.75" x14ac:dyDescent="0.2">
      <c r="A224" s="19">
        <v>2</v>
      </c>
      <c r="B224" s="19" t="s">
        <v>261</v>
      </c>
      <c r="C224" s="8">
        <v>-2700</v>
      </c>
      <c r="D224" s="8">
        <v>-4500</v>
      </c>
      <c r="E224" s="6"/>
      <c r="F224" s="6"/>
      <c r="G224" s="6"/>
    </row>
    <row r="225" spans="1:7" s="4" customFormat="1" ht="9.75" x14ac:dyDescent="0.2">
      <c r="A225" s="19">
        <v>3</v>
      </c>
      <c r="B225" s="19" t="s">
        <v>262</v>
      </c>
      <c r="C225" s="8">
        <v>-2500</v>
      </c>
      <c r="D225" s="8">
        <v>-57000</v>
      </c>
      <c r="E225" s="6"/>
      <c r="F225" s="6"/>
      <c r="G225" s="6"/>
    </row>
    <row r="226" spans="1:7" s="4" customFormat="1" ht="9.75" x14ac:dyDescent="0.2">
      <c r="A226" s="19">
        <v>4</v>
      </c>
      <c r="B226" s="19" t="s">
        <v>263</v>
      </c>
      <c r="C226" s="9">
        <v>-383</v>
      </c>
      <c r="D226" s="8">
        <v>-20683</v>
      </c>
      <c r="E226" s="6"/>
      <c r="F226" s="6"/>
      <c r="G226" s="6"/>
    </row>
    <row r="227" spans="1:7" s="4" customFormat="1" ht="9.75" x14ac:dyDescent="0.2">
      <c r="A227" s="19">
        <v>5</v>
      </c>
      <c r="B227" s="19" t="s">
        <v>264</v>
      </c>
      <c r="C227" s="5" t="s">
        <v>10</v>
      </c>
      <c r="D227" s="8">
        <v>-5300</v>
      </c>
      <c r="E227" s="6"/>
      <c r="F227" s="6"/>
      <c r="G227" s="6"/>
    </row>
    <row r="228" spans="1:7" s="4" customFormat="1" ht="9.75" x14ac:dyDescent="0.2">
      <c r="A228" s="19">
        <v>6</v>
      </c>
      <c r="B228" s="19" t="s">
        <v>265</v>
      </c>
      <c r="C228" s="5" t="s">
        <v>10</v>
      </c>
      <c r="D228" s="8">
        <v>-3700</v>
      </c>
      <c r="E228" s="6"/>
      <c r="F228" s="6"/>
      <c r="G228" s="6"/>
    </row>
    <row r="229" spans="1:7" s="4" customFormat="1" x14ac:dyDescent="0.2">
      <c r="A229" s="19" t="s">
        <v>378</v>
      </c>
      <c r="B229" s="20"/>
      <c r="C229" s="8">
        <v>-21583</v>
      </c>
      <c r="D229" s="8">
        <v>-316983</v>
      </c>
      <c r="E229" s="6"/>
      <c r="F229" s="6"/>
      <c r="G229" s="6"/>
    </row>
    <row r="230" spans="1:7" s="4" customFormat="1" x14ac:dyDescent="0.2">
      <c r="A230" s="19" t="s">
        <v>379</v>
      </c>
      <c r="B230" s="20"/>
      <c r="C230" s="5" t="s">
        <v>10</v>
      </c>
      <c r="D230" s="5" t="s">
        <v>10</v>
      </c>
      <c r="E230" s="6"/>
      <c r="F230" s="6"/>
      <c r="G230" s="6"/>
    </row>
    <row r="231" spans="1:7" s="4" customFormat="1" ht="9.75" x14ac:dyDescent="0.2">
      <c r="A231" s="19">
        <v>1</v>
      </c>
      <c r="B231" s="19" t="s">
        <v>268</v>
      </c>
      <c r="C231" s="8">
        <v>-14640</v>
      </c>
      <c r="D231" s="8">
        <v>-39241</v>
      </c>
      <c r="E231" s="6"/>
      <c r="F231" s="6"/>
      <c r="G231" s="6"/>
    </row>
    <row r="232" spans="1:7" s="4" customFormat="1" ht="9.75" x14ac:dyDescent="0.2">
      <c r="A232" s="19">
        <v>2</v>
      </c>
      <c r="B232" s="19" t="s">
        <v>269</v>
      </c>
      <c r="C232" s="5" t="s">
        <v>10</v>
      </c>
      <c r="D232" s="8">
        <v>-1862</v>
      </c>
      <c r="E232" s="6"/>
      <c r="F232" s="6"/>
      <c r="G232" s="6"/>
    </row>
    <row r="233" spans="1:7" s="4" customFormat="1" ht="9.75" x14ac:dyDescent="0.2">
      <c r="A233" s="19">
        <v>3</v>
      </c>
      <c r="B233" s="19" t="s">
        <v>270</v>
      </c>
      <c r="C233" s="5" t="s">
        <v>10</v>
      </c>
      <c r="D233" s="8">
        <v>-58500</v>
      </c>
      <c r="E233" s="6"/>
      <c r="F233" s="6"/>
      <c r="G233" s="6"/>
    </row>
    <row r="234" spans="1:7" s="4" customFormat="1" x14ac:dyDescent="0.2">
      <c r="A234" s="19" t="s">
        <v>380</v>
      </c>
      <c r="B234" s="20"/>
      <c r="C234" s="8">
        <v>-14640</v>
      </c>
      <c r="D234" s="8">
        <v>-99603</v>
      </c>
      <c r="E234" s="6"/>
      <c r="F234" s="6"/>
      <c r="G234" s="6"/>
    </row>
    <row r="235" spans="1:7" s="4" customFormat="1" x14ac:dyDescent="0.2">
      <c r="A235" s="19" t="s">
        <v>381</v>
      </c>
      <c r="B235" s="20"/>
      <c r="C235" s="5" t="s">
        <v>10</v>
      </c>
      <c r="D235" s="5" t="s">
        <v>10</v>
      </c>
      <c r="E235" s="6"/>
      <c r="F235" s="6"/>
      <c r="G235" s="6"/>
    </row>
    <row r="236" spans="1:7" s="4" customFormat="1" ht="9.75" x14ac:dyDescent="0.2">
      <c r="A236" s="19">
        <v>1</v>
      </c>
      <c r="B236" s="19" t="s">
        <v>273</v>
      </c>
      <c r="C236" s="5" t="s">
        <v>10</v>
      </c>
      <c r="D236" s="8">
        <v>-6200</v>
      </c>
      <c r="E236" s="6"/>
      <c r="F236" s="6"/>
      <c r="G236" s="6"/>
    </row>
    <row r="237" spans="1:7" s="4" customFormat="1" ht="9.75" x14ac:dyDescent="0.2">
      <c r="A237" s="19">
        <v>2</v>
      </c>
      <c r="B237" s="19" t="s">
        <v>274</v>
      </c>
      <c r="C237" s="5" t="s">
        <v>10</v>
      </c>
      <c r="D237" s="9">
        <v>-920</v>
      </c>
      <c r="E237" s="6"/>
      <c r="F237" s="6"/>
      <c r="G237" s="6"/>
    </row>
    <row r="238" spans="1:7" s="4" customFormat="1" ht="9.75" x14ac:dyDescent="0.2">
      <c r="A238" s="19">
        <v>3</v>
      </c>
      <c r="B238" s="19" t="s">
        <v>275</v>
      </c>
      <c r="C238" s="5" t="s">
        <v>10</v>
      </c>
      <c r="D238" s="8">
        <v>-33197.910000000003</v>
      </c>
      <c r="E238" s="6"/>
      <c r="F238" s="6"/>
      <c r="G238" s="6"/>
    </row>
    <row r="239" spans="1:7" s="4" customFormat="1" ht="9.75" x14ac:dyDescent="0.2">
      <c r="A239" s="19">
        <v>4</v>
      </c>
      <c r="B239" s="19" t="s">
        <v>276</v>
      </c>
      <c r="C239" s="5" t="s">
        <v>10</v>
      </c>
      <c r="D239" s="8">
        <v>-25310</v>
      </c>
      <c r="E239" s="6"/>
      <c r="F239" s="6"/>
      <c r="G239" s="6"/>
    </row>
    <row r="240" spans="1:7" s="4" customFormat="1" x14ac:dyDescent="0.2">
      <c r="A240" s="19" t="s">
        <v>382</v>
      </c>
      <c r="B240" s="20"/>
      <c r="C240" s="5" t="s">
        <v>10</v>
      </c>
      <c r="D240" s="8">
        <v>-65627.91</v>
      </c>
      <c r="E240" s="6"/>
      <c r="F240" s="6"/>
      <c r="G240" s="6"/>
    </row>
    <row r="241" spans="1:7" s="4" customFormat="1" x14ac:dyDescent="0.2">
      <c r="A241" s="19" t="s">
        <v>129</v>
      </c>
      <c r="B241" s="20"/>
      <c r="C241" s="5" t="s">
        <v>10</v>
      </c>
      <c r="D241" s="5" t="s">
        <v>10</v>
      </c>
      <c r="E241" s="6"/>
      <c r="F241" s="6"/>
      <c r="G241" s="6"/>
    </row>
    <row r="242" spans="1:7" s="4" customFormat="1" ht="9.75" x14ac:dyDescent="0.2">
      <c r="A242" s="19">
        <v>1</v>
      </c>
      <c r="B242" s="19" t="s">
        <v>268</v>
      </c>
      <c r="C242" s="5" t="s">
        <v>10</v>
      </c>
      <c r="D242" s="8">
        <v>-19947</v>
      </c>
      <c r="E242" s="6"/>
      <c r="F242" s="6"/>
      <c r="G242" s="6"/>
    </row>
    <row r="243" spans="1:7" s="4" customFormat="1" x14ac:dyDescent="0.2">
      <c r="A243" s="19" t="s">
        <v>383</v>
      </c>
      <c r="B243" s="20"/>
      <c r="C243" s="5" t="s">
        <v>10</v>
      </c>
      <c r="D243" s="8">
        <v>-19947</v>
      </c>
      <c r="E243" s="6"/>
      <c r="F243" s="6"/>
      <c r="G243" s="6"/>
    </row>
    <row r="244" spans="1:7" s="4" customFormat="1" x14ac:dyDescent="0.2">
      <c r="A244" s="19" t="s">
        <v>130</v>
      </c>
      <c r="B244" s="20"/>
      <c r="C244" s="5" t="s">
        <v>10</v>
      </c>
      <c r="D244" s="5" t="s">
        <v>10</v>
      </c>
      <c r="E244" s="6"/>
      <c r="F244" s="6"/>
      <c r="G244" s="6"/>
    </row>
    <row r="245" spans="1:7" s="4" customFormat="1" ht="9.75" x14ac:dyDescent="0.2">
      <c r="A245" s="19">
        <v>1</v>
      </c>
      <c r="B245" s="19" t="s">
        <v>268</v>
      </c>
      <c r="C245" s="8">
        <v>-4199</v>
      </c>
      <c r="D245" s="8">
        <v>-19697</v>
      </c>
      <c r="E245" s="6"/>
      <c r="F245" s="6"/>
      <c r="G245" s="6"/>
    </row>
    <row r="246" spans="1:7" s="4" customFormat="1" x14ac:dyDescent="0.2">
      <c r="A246" s="19" t="s">
        <v>384</v>
      </c>
      <c r="B246" s="20"/>
      <c r="C246" s="8">
        <v>-4199</v>
      </c>
      <c r="D246" s="8">
        <v>-19697</v>
      </c>
      <c r="E246" s="6"/>
      <c r="F246" s="6"/>
      <c r="G246" s="6"/>
    </row>
    <row r="247" spans="1:7" s="4" customFormat="1" x14ac:dyDescent="0.2">
      <c r="A247" s="19" t="s">
        <v>385</v>
      </c>
      <c r="B247" s="20"/>
      <c r="C247" s="5" t="s">
        <v>10</v>
      </c>
      <c r="D247" s="5" t="s">
        <v>10</v>
      </c>
      <c r="E247" s="6"/>
      <c r="F247" s="6"/>
      <c r="G247" s="6"/>
    </row>
    <row r="248" spans="1:7" s="4" customFormat="1" ht="9.75" x14ac:dyDescent="0.2">
      <c r="A248" s="19">
        <v>1</v>
      </c>
      <c r="B248" s="19" t="s">
        <v>283</v>
      </c>
      <c r="C248" s="8">
        <v>-5000</v>
      </c>
      <c r="D248" s="8">
        <v>-11710</v>
      </c>
      <c r="E248" s="6"/>
      <c r="F248" s="6"/>
      <c r="G248" s="6"/>
    </row>
    <row r="249" spans="1:7" s="4" customFormat="1" ht="9.75" x14ac:dyDescent="0.2">
      <c r="A249" s="19">
        <v>2</v>
      </c>
      <c r="B249" s="19" t="s">
        <v>284</v>
      </c>
      <c r="C249" s="5" t="s">
        <v>10</v>
      </c>
      <c r="D249" s="8">
        <v>-3500</v>
      </c>
      <c r="E249" s="6"/>
      <c r="F249" s="6"/>
      <c r="G249" s="6"/>
    </row>
    <row r="250" spans="1:7" s="4" customFormat="1" x14ac:dyDescent="0.2">
      <c r="A250" s="19" t="s">
        <v>386</v>
      </c>
      <c r="B250" s="20"/>
      <c r="C250" s="8">
        <v>-5000</v>
      </c>
      <c r="D250" s="8">
        <v>-15210</v>
      </c>
      <c r="E250" s="6"/>
      <c r="F250" s="6"/>
      <c r="G250" s="6"/>
    </row>
    <row r="251" spans="1:7" s="4" customFormat="1" x14ac:dyDescent="0.2">
      <c r="A251" s="19" t="s">
        <v>387</v>
      </c>
      <c r="B251" s="20"/>
      <c r="C251" s="5" t="s">
        <v>10</v>
      </c>
      <c r="D251" s="5" t="s">
        <v>10</v>
      </c>
      <c r="E251" s="6"/>
      <c r="F251" s="6"/>
      <c r="G251" s="6"/>
    </row>
    <row r="252" spans="1:7" s="4" customFormat="1" x14ac:dyDescent="0.2">
      <c r="A252" s="19" t="s">
        <v>388</v>
      </c>
      <c r="B252" s="20"/>
      <c r="C252" s="8">
        <v>-2600</v>
      </c>
      <c r="D252" s="8">
        <v>-41015</v>
      </c>
      <c r="E252" s="6"/>
      <c r="F252" s="6"/>
      <c r="G252" s="6"/>
    </row>
    <row r="253" spans="1:7" s="4" customFormat="1" x14ac:dyDescent="0.2">
      <c r="A253" s="19" t="s">
        <v>389</v>
      </c>
      <c r="B253" s="20"/>
      <c r="C253" s="5" t="s">
        <v>10</v>
      </c>
      <c r="D253" s="5" t="s">
        <v>10</v>
      </c>
      <c r="E253" s="6"/>
      <c r="F253" s="6"/>
      <c r="G253" s="6"/>
    </row>
    <row r="254" spans="1:7" s="4" customFormat="1" x14ac:dyDescent="0.2">
      <c r="A254" s="19" t="s">
        <v>390</v>
      </c>
      <c r="B254" s="20"/>
      <c r="C254" s="8">
        <v>-2650</v>
      </c>
      <c r="D254" s="8">
        <v>-30984</v>
      </c>
      <c r="E254" s="6"/>
      <c r="F254" s="6"/>
      <c r="G254" s="6"/>
    </row>
    <row r="255" spans="1:7" s="4" customFormat="1" x14ac:dyDescent="0.2">
      <c r="A255" s="19" t="s">
        <v>276</v>
      </c>
      <c r="B255" s="20"/>
      <c r="C255" s="5" t="s">
        <v>10</v>
      </c>
      <c r="D255" s="5" t="s">
        <v>10</v>
      </c>
      <c r="E255" s="6"/>
      <c r="F255" s="6"/>
      <c r="G255" s="6"/>
    </row>
    <row r="256" spans="1:7" s="4" customFormat="1" x14ac:dyDescent="0.2">
      <c r="A256" s="19" t="s">
        <v>391</v>
      </c>
      <c r="B256" s="20"/>
      <c r="C256" s="5" t="s">
        <v>10</v>
      </c>
      <c r="D256" s="8">
        <v>-5396</v>
      </c>
      <c r="E256" s="6"/>
      <c r="F256" s="6"/>
      <c r="G256" s="6"/>
    </row>
    <row r="257" spans="1:7" s="4" customFormat="1" x14ac:dyDescent="0.2">
      <c r="A257" s="19" t="s">
        <v>392</v>
      </c>
      <c r="B257" s="20"/>
      <c r="C257" s="5" t="s">
        <v>10</v>
      </c>
      <c r="D257" s="5" t="s">
        <v>10</v>
      </c>
      <c r="E257" s="6"/>
      <c r="F257" s="6"/>
      <c r="G257" s="6"/>
    </row>
    <row r="258" spans="1:7" s="4" customFormat="1" ht="9.75" x14ac:dyDescent="0.2">
      <c r="A258" s="19">
        <v>1</v>
      </c>
      <c r="B258" s="19" t="s">
        <v>293</v>
      </c>
      <c r="C258" s="8">
        <v>-15000</v>
      </c>
      <c r="D258" s="8">
        <v>-29000</v>
      </c>
      <c r="E258" s="6"/>
      <c r="F258" s="6"/>
      <c r="G258" s="6"/>
    </row>
    <row r="259" spans="1:7" s="4" customFormat="1" ht="9.75" x14ac:dyDescent="0.2">
      <c r="A259" s="19">
        <v>2</v>
      </c>
      <c r="B259" s="19" t="s">
        <v>294</v>
      </c>
      <c r="C259" s="8">
        <v>-5000</v>
      </c>
      <c r="D259" s="8">
        <v>-10000</v>
      </c>
      <c r="E259" s="6"/>
      <c r="F259" s="6"/>
      <c r="G259" s="6"/>
    </row>
    <row r="260" spans="1:7" s="4" customFormat="1" ht="9.75" x14ac:dyDescent="0.2">
      <c r="A260" s="19">
        <v>3</v>
      </c>
      <c r="B260" s="19" t="s">
        <v>295</v>
      </c>
      <c r="C260" s="5" t="s">
        <v>10</v>
      </c>
      <c r="D260" s="8">
        <v>-20000</v>
      </c>
      <c r="E260" s="6"/>
      <c r="F260" s="6"/>
      <c r="G260" s="6"/>
    </row>
    <row r="261" spans="1:7" s="4" customFormat="1" ht="9.75" x14ac:dyDescent="0.2">
      <c r="A261" s="19">
        <v>4</v>
      </c>
      <c r="B261" s="19" t="s">
        <v>296</v>
      </c>
      <c r="C261" s="5" t="s">
        <v>10</v>
      </c>
      <c r="D261" s="8">
        <v>-24400</v>
      </c>
      <c r="E261" s="6"/>
      <c r="F261" s="6"/>
      <c r="G261" s="6"/>
    </row>
    <row r="262" spans="1:7" s="4" customFormat="1" ht="9.75" x14ac:dyDescent="0.2">
      <c r="A262" s="19">
        <v>5</v>
      </c>
      <c r="B262" s="19" t="s">
        <v>297</v>
      </c>
      <c r="C262" s="5" t="s">
        <v>10</v>
      </c>
      <c r="D262" s="8">
        <v>-35000</v>
      </c>
      <c r="E262" s="6"/>
      <c r="F262" s="6"/>
      <c r="G262" s="6"/>
    </row>
    <row r="263" spans="1:7" s="4" customFormat="1" ht="9.75" x14ac:dyDescent="0.2">
      <c r="A263" s="19">
        <v>6</v>
      </c>
      <c r="B263" s="19" t="s">
        <v>298</v>
      </c>
      <c r="C263" s="5" t="s">
        <v>10</v>
      </c>
      <c r="D263" s="8">
        <v>-60000</v>
      </c>
      <c r="E263" s="6"/>
      <c r="F263" s="6"/>
      <c r="G263" s="6"/>
    </row>
    <row r="264" spans="1:7" s="4" customFormat="1" ht="9.75" x14ac:dyDescent="0.2">
      <c r="A264" s="19">
        <v>7</v>
      </c>
      <c r="B264" s="19" t="s">
        <v>299</v>
      </c>
      <c r="C264" s="5" t="s">
        <v>10</v>
      </c>
      <c r="D264" s="8">
        <v>-4500</v>
      </c>
      <c r="E264" s="6"/>
      <c r="F264" s="6"/>
      <c r="G264" s="6"/>
    </row>
    <row r="265" spans="1:7" s="4" customFormat="1" x14ac:dyDescent="0.2">
      <c r="A265" s="19" t="s">
        <v>393</v>
      </c>
      <c r="B265" s="20"/>
      <c r="C265" s="8">
        <v>-20000</v>
      </c>
      <c r="D265" s="8">
        <v>-182900</v>
      </c>
      <c r="E265" s="6"/>
      <c r="F265" s="6"/>
      <c r="G265" s="6"/>
    </row>
    <row r="266" spans="1:7" s="4" customFormat="1" x14ac:dyDescent="0.2">
      <c r="A266" s="19" t="s">
        <v>394</v>
      </c>
      <c r="B266" s="20"/>
      <c r="C266" s="5" t="s">
        <v>10</v>
      </c>
      <c r="D266" s="5" t="s">
        <v>10</v>
      </c>
      <c r="E266" s="6"/>
      <c r="F266" s="6"/>
      <c r="G266" s="6"/>
    </row>
    <row r="267" spans="1:7" s="4" customFormat="1" ht="9.75" x14ac:dyDescent="0.2">
      <c r="A267" s="19">
        <v>1</v>
      </c>
      <c r="B267" s="19" t="s">
        <v>302</v>
      </c>
      <c r="C267" s="8">
        <v>-26463</v>
      </c>
      <c r="D267" s="8">
        <v>-29463</v>
      </c>
      <c r="E267" s="6"/>
      <c r="F267" s="6"/>
      <c r="G267" s="6"/>
    </row>
    <row r="268" spans="1:7" s="4" customFormat="1" ht="9.75" x14ac:dyDescent="0.2">
      <c r="A268" s="19">
        <v>2</v>
      </c>
      <c r="B268" s="19" t="s">
        <v>303</v>
      </c>
      <c r="C268" s="8">
        <v>-2500</v>
      </c>
      <c r="D268" s="8">
        <v>-2500</v>
      </c>
      <c r="E268" s="6"/>
      <c r="F268" s="6"/>
      <c r="G268" s="6"/>
    </row>
    <row r="269" spans="1:7" s="4" customFormat="1" ht="9.75" x14ac:dyDescent="0.2">
      <c r="A269" s="19">
        <v>3</v>
      </c>
      <c r="B269" s="19" t="s">
        <v>304</v>
      </c>
      <c r="C269" s="8">
        <v>-2000</v>
      </c>
      <c r="D269" s="8">
        <v>-2000</v>
      </c>
      <c r="E269" s="6"/>
      <c r="F269" s="6"/>
      <c r="G269" s="6"/>
    </row>
    <row r="270" spans="1:7" s="4" customFormat="1" ht="9.75" x14ac:dyDescent="0.2">
      <c r="A270" s="19">
        <v>4</v>
      </c>
      <c r="B270" s="19" t="s">
        <v>305</v>
      </c>
      <c r="C270" s="8">
        <v>-1700</v>
      </c>
      <c r="D270" s="8">
        <v>-3550</v>
      </c>
      <c r="E270" s="6"/>
      <c r="F270" s="6"/>
      <c r="G270" s="6"/>
    </row>
    <row r="271" spans="1:7" s="4" customFormat="1" ht="9.75" x14ac:dyDescent="0.2">
      <c r="A271" s="19">
        <v>5</v>
      </c>
      <c r="B271" s="19" t="s">
        <v>306</v>
      </c>
      <c r="C271" s="9">
        <v>-150</v>
      </c>
      <c r="D271" s="9">
        <v>-150</v>
      </c>
      <c r="E271" s="6"/>
      <c r="F271" s="6"/>
      <c r="G271" s="6"/>
    </row>
    <row r="272" spans="1:7" s="4" customFormat="1" ht="9.75" x14ac:dyDescent="0.2">
      <c r="A272" s="19">
        <v>6</v>
      </c>
      <c r="B272" s="19" t="s">
        <v>307</v>
      </c>
      <c r="C272" s="5" t="s">
        <v>10</v>
      </c>
      <c r="D272" s="8">
        <v>-6175</v>
      </c>
      <c r="E272" s="6"/>
      <c r="F272" s="6"/>
      <c r="G272" s="6"/>
    </row>
    <row r="273" spans="1:7" s="4" customFormat="1" ht="9.75" x14ac:dyDescent="0.2">
      <c r="A273" s="19">
        <v>7</v>
      </c>
      <c r="B273" s="19" t="s">
        <v>308</v>
      </c>
      <c r="C273" s="5" t="s">
        <v>10</v>
      </c>
      <c r="D273" s="8">
        <v>-106287</v>
      </c>
      <c r="E273" s="6"/>
      <c r="F273" s="6"/>
      <c r="G273" s="6"/>
    </row>
    <row r="274" spans="1:7" s="4" customFormat="1" ht="9.75" x14ac:dyDescent="0.2">
      <c r="A274" s="19">
        <v>8</v>
      </c>
      <c r="B274" s="19" t="s">
        <v>309</v>
      </c>
      <c r="C274" s="5" t="s">
        <v>10</v>
      </c>
      <c r="D274" s="8">
        <v>-48372</v>
      </c>
      <c r="E274" s="6"/>
      <c r="F274" s="6"/>
      <c r="G274" s="6"/>
    </row>
    <row r="275" spans="1:7" s="4" customFormat="1" x14ac:dyDescent="0.2">
      <c r="A275" s="19" t="s">
        <v>395</v>
      </c>
      <c r="B275" s="20"/>
      <c r="C275" s="8">
        <v>-32813</v>
      </c>
      <c r="D275" s="8">
        <v>-198497</v>
      </c>
      <c r="E275" s="6"/>
      <c r="F275" s="6"/>
      <c r="G275" s="6"/>
    </row>
    <row r="276" spans="1:7" s="4" customFormat="1" x14ac:dyDescent="0.2">
      <c r="A276" s="19" t="s">
        <v>396</v>
      </c>
      <c r="B276" s="20"/>
      <c r="C276" s="5" t="s">
        <v>10</v>
      </c>
      <c r="D276" s="5" t="s">
        <v>10</v>
      </c>
      <c r="E276" s="6"/>
      <c r="F276" s="6"/>
      <c r="G276" s="6"/>
    </row>
    <row r="277" spans="1:7" s="4" customFormat="1" ht="9.75" x14ac:dyDescent="0.2">
      <c r="A277" s="19">
        <v>1</v>
      </c>
      <c r="B277" s="19" t="s">
        <v>312</v>
      </c>
      <c r="C277" s="5" t="s">
        <v>10</v>
      </c>
      <c r="D277" s="8">
        <v>-9369</v>
      </c>
      <c r="E277" s="6"/>
      <c r="F277" s="6"/>
      <c r="G277" s="6"/>
    </row>
    <row r="278" spans="1:7" s="4" customFormat="1" ht="9.75" x14ac:dyDescent="0.2">
      <c r="A278" s="19">
        <v>2</v>
      </c>
      <c r="B278" s="19" t="s">
        <v>313</v>
      </c>
      <c r="C278" s="5" t="s">
        <v>10</v>
      </c>
      <c r="D278" s="8">
        <v>-3000</v>
      </c>
      <c r="E278" s="6"/>
      <c r="F278" s="6"/>
      <c r="G278" s="6"/>
    </row>
    <row r="279" spans="1:7" s="4" customFormat="1" ht="9.75" x14ac:dyDescent="0.2">
      <c r="A279" s="19">
        <v>3</v>
      </c>
      <c r="B279" s="19" t="s">
        <v>265</v>
      </c>
      <c r="C279" s="5" t="s">
        <v>10</v>
      </c>
      <c r="D279" s="8">
        <v>-1000</v>
      </c>
      <c r="E279" s="6"/>
      <c r="F279" s="6"/>
      <c r="G279" s="6"/>
    </row>
    <row r="280" spans="1:7" s="4" customFormat="1" ht="9.75" x14ac:dyDescent="0.2">
      <c r="A280" s="19">
        <v>4</v>
      </c>
      <c r="B280" s="19" t="s">
        <v>314</v>
      </c>
      <c r="C280" s="5" t="s">
        <v>10</v>
      </c>
      <c r="D280" s="8">
        <v>-20500</v>
      </c>
      <c r="E280" s="6"/>
      <c r="F280" s="6"/>
      <c r="G280" s="6"/>
    </row>
    <row r="281" spans="1:7" s="4" customFormat="1" ht="9.75" x14ac:dyDescent="0.2">
      <c r="A281" s="19">
        <v>5</v>
      </c>
      <c r="B281" s="19" t="s">
        <v>315</v>
      </c>
      <c r="C281" s="5" t="s">
        <v>10</v>
      </c>
      <c r="D281" s="8">
        <v>-40500</v>
      </c>
      <c r="E281" s="6"/>
      <c r="F281" s="6"/>
      <c r="G281" s="6"/>
    </row>
    <row r="282" spans="1:7" s="4" customFormat="1" x14ac:dyDescent="0.2">
      <c r="A282" s="19" t="s">
        <v>397</v>
      </c>
      <c r="B282" s="20"/>
      <c r="C282" s="5" t="s">
        <v>10</v>
      </c>
      <c r="D282" s="8">
        <v>-74369</v>
      </c>
      <c r="E282" s="6"/>
      <c r="F282" s="6"/>
      <c r="G282" s="6"/>
    </row>
    <row r="283" spans="1:7" s="4" customFormat="1" x14ac:dyDescent="0.2">
      <c r="A283" s="19" t="s">
        <v>398</v>
      </c>
      <c r="B283" s="20"/>
      <c r="C283" s="5" t="s">
        <v>10</v>
      </c>
      <c r="D283" s="5" t="s">
        <v>10</v>
      </c>
      <c r="E283" s="6"/>
      <c r="F283" s="6"/>
      <c r="G283" s="6"/>
    </row>
    <row r="284" spans="1:7" s="4" customFormat="1" ht="9.75" x14ac:dyDescent="0.2">
      <c r="A284" s="19">
        <v>1</v>
      </c>
      <c r="B284" s="19" t="s">
        <v>318</v>
      </c>
      <c r="C284" s="8">
        <v>-300000</v>
      </c>
      <c r="D284" s="8">
        <v>-300000</v>
      </c>
      <c r="E284" s="6"/>
      <c r="F284" s="6"/>
      <c r="G284" s="6"/>
    </row>
    <row r="285" spans="1:7" s="4" customFormat="1" ht="9.75" x14ac:dyDescent="0.2">
      <c r="A285" s="19">
        <v>2</v>
      </c>
      <c r="B285" s="19" t="s">
        <v>265</v>
      </c>
      <c r="C285" s="8">
        <v>-3800</v>
      </c>
      <c r="D285" s="8">
        <v>-3800</v>
      </c>
      <c r="E285" s="6"/>
      <c r="F285" s="6"/>
      <c r="G285" s="6"/>
    </row>
    <row r="286" spans="1:7" s="4" customFormat="1" ht="9.75" x14ac:dyDescent="0.2">
      <c r="A286" s="19">
        <v>3</v>
      </c>
      <c r="B286" s="19" t="s">
        <v>319</v>
      </c>
      <c r="C286" s="8">
        <v>-3570</v>
      </c>
      <c r="D286" s="8">
        <v>-3994</v>
      </c>
      <c r="E286" s="6"/>
      <c r="F286" s="6"/>
      <c r="G286" s="6"/>
    </row>
    <row r="287" spans="1:7" s="4" customFormat="1" ht="9.75" x14ac:dyDescent="0.2">
      <c r="A287" s="19">
        <v>4</v>
      </c>
      <c r="B287" s="19" t="s">
        <v>320</v>
      </c>
      <c r="C287" s="5" t="s">
        <v>10</v>
      </c>
      <c r="D287" s="8">
        <v>-438880</v>
      </c>
      <c r="E287" s="6"/>
      <c r="F287" s="6"/>
      <c r="G287" s="6"/>
    </row>
    <row r="288" spans="1:7" s="4" customFormat="1" x14ac:dyDescent="0.2">
      <c r="A288" s="19" t="s">
        <v>399</v>
      </c>
      <c r="B288" s="20"/>
      <c r="C288" s="8">
        <v>-307370</v>
      </c>
      <c r="D288" s="8">
        <v>-746674</v>
      </c>
      <c r="E288" s="6"/>
      <c r="F288" s="6"/>
      <c r="G288" s="6"/>
    </row>
    <row r="289" spans="1:7" s="4" customFormat="1" x14ac:dyDescent="0.2">
      <c r="A289" s="19" t="s">
        <v>400</v>
      </c>
      <c r="B289" s="20"/>
      <c r="C289" s="5" t="s">
        <v>10</v>
      </c>
      <c r="D289" s="5" t="s">
        <v>10</v>
      </c>
      <c r="E289" s="6"/>
      <c r="F289" s="6"/>
      <c r="G289" s="6"/>
    </row>
    <row r="290" spans="1:7" s="4" customFormat="1" ht="9.75" x14ac:dyDescent="0.2">
      <c r="A290" s="19">
        <v>1</v>
      </c>
      <c r="B290" s="19" t="s">
        <v>323</v>
      </c>
      <c r="C290" s="5" t="s">
        <v>10</v>
      </c>
      <c r="D290" s="8">
        <v>-17268</v>
      </c>
      <c r="E290" s="6"/>
      <c r="F290" s="6"/>
      <c r="G290" s="6"/>
    </row>
    <row r="291" spans="1:7" s="4" customFormat="1" ht="9.75" x14ac:dyDescent="0.2">
      <c r="A291" s="19">
        <v>2</v>
      </c>
      <c r="B291" s="19" t="s">
        <v>324</v>
      </c>
      <c r="C291" s="5" t="s">
        <v>10</v>
      </c>
      <c r="D291" s="8">
        <v>-20378</v>
      </c>
      <c r="E291" s="6"/>
      <c r="F291" s="6"/>
      <c r="G291" s="6"/>
    </row>
    <row r="292" spans="1:7" s="4" customFormat="1" ht="9.75" x14ac:dyDescent="0.2">
      <c r="A292" s="19">
        <v>3</v>
      </c>
      <c r="B292" s="19" t="s">
        <v>325</v>
      </c>
      <c r="C292" s="5" t="s">
        <v>10</v>
      </c>
      <c r="D292" s="8">
        <v>-10694</v>
      </c>
      <c r="E292" s="6"/>
      <c r="F292" s="6"/>
      <c r="G292" s="6"/>
    </row>
    <row r="293" spans="1:7" s="4" customFormat="1" ht="9.75" x14ac:dyDescent="0.2">
      <c r="A293" s="19">
        <v>4</v>
      </c>
      <c r="B293" s="19" t="s">
        <v>326</v>
      </c>
      <c r="C293" s="5" t="s">
        <v>10</v>
      </c>
      <c r="D293" s="8">
        <v>-4578.6099999999997</v>
      </c>
      <c r="E293" s="6"/>
      <c r="F293" s="6"/>
      <c r="G293" s="6"/>
    </row>
    <row r="294" spans="1:7" s="4" customFormat="1" ht="9.75" x14ac:dyDescent="0.2">
      <c r="A294" s="19">
        <v>5</v>
      </c>
      <c r="B294" s="19" t="s">
        <v>327</v>
      </c>
      <c r="C294" s="5" t="s">
        <v>10</v>
      </c>
      <c r="D294" s="8">
        <v>-8120</v>
      </c>
      <c r="E294" s="6"/>
      <c r="F294" s="6"/>
      <c r="G294" s="6"/>
    </row>
    <row r="295" spans="1:7" s="4" customFormat="1" ht="9.75" x14ac:dyDescent="0.2">
      <c r="A295" s="19">
        <v>6</v>
      </c>
      <c r="B295" s="19" t="s">
        <v>328</v>
      </c>
      <c r="C295" s="5" t="s">
        <v>10</v>
      </c>
      <c r="D295" s="8">
        <v>-1000</v>
      </c>
      <c r="E295" s="6"/>
      <c r="F295" s="6"/>
      <c r="G295" s="6"/>
    </row>
    <row r="296" spans="1:7" s="4" customFormat="1" ht="9.75" x14ac:dyDescent="0.2">
      <c r="A296" s="19">
        <v>7</v>
      </c>
      <c r="B296" s="19" t="s">
        <v>329</v>
      </c>
      <c r="C296" s="5" t="s">
        <v>10</v>
      </c>
      <c r="D296" s="8">
        <v>-15200</v>
      </c>
      <c r="E296" s="6"/>
      <c r="F296" s="6"/>
      <c r="G296" s="6"/>
    </row>
    <row r="297" spans="1:7" s="4" customFormat="1" ht="9.75" x14ac:dyDescent="0.2">
      <c r="A297" s="19">
        <v>8</v>
      </c>
      <c r="B297" s="19" t="s">
        <v>330</v>
      </c>
      <c r="C297" s="5" t="s">
        <v>10</v>
      </c>
      <c r="D297" s="8">
        <v>-8190</v>
      </c>
      <c r="E297" s="6"/>
      <c r="F297" s="6"/>
      <c r="G297" s="6"/>
    </row>
    <row r="298" spans="1:7" s="4" customFormat="1" x14ac:dyDescent="0.2">
      <c r="A298" s="19" t="s">
        <v>401</v>
      </c>
      <c r="B298" s="20"/>
      <c r="C298" s="5" t="s">
        <v>10</v>
      </c>
      <c r="D298" s="8">
        <v>-85428.61</v>
      </c>
      <c r="E298" s="6"/>
      <c r="F298" s="6"/>
      <c r="G298" s="6"/>
    </row>
    <row r="299" spans="1:7" x14ac:dyDescent="0.2">
      <c r="B299" s="10" t="s">
        <v>332</v>
      </c>
      <c r="C299" s="11">
        <v>-123450.73</v>
      </c>
      <c r="D299" s="11">
        <v>-7812350.3799999999</v>
      </c>
    </row>
  </sheetData>
  <pageMargins left="0.75" right="0.75" top="1" bottom="1" header="0.5" footer="0.5"/>
  <pageSetup paperSize="9" orientation="portrait" r:id="rId1"/>
  <headerFooter>
    <oddFooter>&amp;CСтр. #P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299"/>
  <sheetViews>
    <sheetView workbookViewId="0">
      <selection activeCell="B17" sqref="B17"/>
    </sheetView>
  </sheetViews>
  <sheetFormatPr defaultRowHeight="11.25" x14ac:dyDescent="0.2"/>
  <cols>
    <col min="1" max="1" width="4.33203125" customWidth="1"/>
    <col min="2" max="2" width="37.1640625" customWidth="1"/>
    <col min="3" max="4" width="13.83203125" customWidth="1"/>
    <col min="5" max="5" width="14" customWidth="1"/>
    <col min="6" max="6" width="16" customWidth="1"/>
    <col min="7" max="7" width="14.33203125" customWidth="1"/>
    <col min="8" max="256" width="10.33203125" customWidth="1"/>
  </cols>
  <sheetData>
    <row r="1" spans="1:7" ht="12" x14ac:dyDescent="0.2">
      <c r="A1" s="37" t="s">
        <v>0</v>
      </c>
      <c r="B1" s="37"/>
      <c r="C1" s="37"/>
      <c r="D1" s="37"/>
      <c r="E1" s="37"/>
      <c r="F1" s="37"/>
      <c r="G1" s="37"/>
    </row>
    <row r="2" spans="1:7" ht="12" x14ac:dyDescent="0.2">
      <c r="A2" s="38" t="s">
        <v>1</v>
      </c>
      <c r="B2" s="38"/>
      <c r="C2" s="38"/>
      <c r="D2" s="38"/>
      <c r="E2" s="38"/>
      <c r="F2" s="38"/>
      <c r="G2" s="38"/>
    </row>
    <row r="4" spans="1:7" x14ac:dyDescent="0.2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</row>
    <row r="5" spans="1:7" s="4" customFormat="1" x14ac:dyDescent="0.2">
      <c r="A5" s="35" t="s">
        <v>9</v>
      </c>
      <c r="B5" s="36"/>
      <c r="C5" s="5" t="s">
        <v>10</v>
      </c>
      <c r="D5" s="5" t="s">
        <v>10</v>
      </c>
      <c r="E5" s="6"/>
      <c r="F5" s="6"/>
      <c r="G5" s="6"/>
    </row>
    <row r="6" spans="1:7" s="4" customFormat="1" ht="9.75" x14ac:dyDescent="0.2">
      <c r="A6" s="7" t="s">
        <v>11</v>
      </c>
      <c r="B6" s="7" t="s">
        <v>12</v>
      </c>
      <c r="C6" s="8">
        <v>1570346</v>
      </c>
      <c r="D6" s="8">
        <v>18272090</v>
      </c>
      <c r="E6" s="6"/>
      <c r="F6" s="6"/>
      <c r="G6" s="6"/>
    </row>
    <row r="7" spans="1:7" s="4" customFormat="1" ht="9.75" x14ac:dyDescent="0.2">
      <c r="A7" s="7" t="s">
        <v>13</v>
      </c>
      <c r="B7" s="7" t="s">
        <v>14</v>
      </c>
      <c r="C7" s="8">
        <v>1461670</v>
      </c>
      <c r="D7" s="8">
        <v>2851288</v>
      </c>
      <c r="E7" s="6"/>
      <c r="F7" s="6"/>
      <c r="G7" s="6"/>
    </row>
    <row r="8" spans="1:7" s="4" customFormat="1" ht="9.75" x14ac:dyDescent="0.2">
      <c r="A8" s="7" t="s">
        <v>15</v>
      </c>
      <c r="B8" s="7" t="s">
        <v>16</v>
      </c>
      <c r="C8" s="8">
        <v>479100</v>
      </c>
      <c r="D8" s="8">
        <v>5881250</v>
      </c>
      <c r="E8" s="6"/>
      <c r="F8" s="6"/>
      <c r="G8" s="6"/>
    </row>
    <row r="9" spans="1:7" s="4" customFormat="1" ht="9.75" x14ac:dyDescent="0.2">
      <c r="A9" s="7" t="s">
        <v>17</v>
      </c>
      <c r="B9" s="7" t="s">
        <v>18</v>
      </c>
      <c r="C9" s="8">
        <v>307700</v>
      </c>
      <c r="D9" s="8">
        <v>4339000</v>
      </c>
      <c r="E9" s="6"/>
      <c r="F9" s="6"/>
      <c r="G9" s="6"/>
    </row>
    <row r="10" spans="1:7" s="4" customFormat="1" ht="9.75" x14ac:dyDescent="0.2">
      <c r="A10" s="7" t="s">
        <v>19</v>
      </c>
      <c r="B10" s="7" t="s">
        <v>20</v>
      </c>
      <c r="C10" s="8">
        <v>100000</v>
      </c>
      <c r="D10" s="8">
        <v>1180000</v>
      </c>
      <c r="E10" s="6"/>
      <c r="F10" s="6"/>
      <c r="G10" s="6"/>
    </row>
    <row r="11" spans="1:7" s="4" customFormat="1" ht="9.75" x14ac:dyDescent="0.2">
      <c r="A11" s="7" t="s">
        <v>21</v>
      </c>
      <c r="B11" s="7" t="s">
        <v>22</v>
      </c>
      <c r="C11" s="8">
        <v>49575</v>
      </c>
      <c r="D11" s="8">
        <v>542852</v>
      </c>
      <c r="E11" s="6"/>
      <c r="F11" s="6"/>
      <c r="G11" s="6"/>
    </row>
    <row r="12" spans="1:7" s="4" customFormat="1" ht="9.75" x14ac:dyDescent="0.2">
      <c r="A12" s="7" t="s">
        <v>23</v>
      </c>
      <c r="B12" s="7" t="s">
        <v>24</v>
      </c>
      <c r="C12" s="8">
        <v>43900</v>
      </c>
      <c r="D12" s="8">
        <v>675970</v>
      </c>
      <c r="E12" s="6"/>
      <c r="F12" s="6"/>
      <c r="G12" s="6"/>
    </row>
    <row r="13" spans="1:7" s="4" customFormat="1" ht="9.75" x14ac:dyDescent="0.2">
      <c r="A13" s="7" t="s">
        <v>25</v>
      </c>
      <c r="B13" s="7" t="s">
        <v>26</v>
      </c>
      <c r="C13" s="8">
        <v>33800</v>
      </c>
      <c r="D13" s="8">
        <v>306800</v>
      </c>
      <c r="E13" s="6"/>
      <c r="F13" s="6"/>
      <c r="G13" s="6"/>
    </row>
    <row r="14" spans="1:7" s="4" customFormat="1" ht="9.75" x14ac:dyDescent="0.2">
      <c r="A14" s="7" t="s">
        <v>27</v>
      </c>
      <c r="B14" s="7" t="s">
        <v>28</v>
      </c>
      <c r="C14" s="8">
        <v>25300</v>
      </c>
      <c r="D14" s="8">
        <v>831300</v>
      </c>
      <c r="E14" s="6"/>
      <c r="F14" s="6"/>
      <c r="G14" s="6"/>
    </row>
    <row r="15" spans="1:7" s="4" customFormat="1" ht="9.75" x14ac:dyDescent="0.2">
      <c r="A15" s="7" t="s">
        <v>29</v>
      </c>
      <c r="B15" s="7" t="s">
        <v>30</v>
      </c>
      <c r="C15" s="8">
        <v>19550</v>
      </c>
      <c r="D15" s="8">
        <v>218550</v>
      </c>
      <c r="E15" s="6"/>
      <c r="F15" s="6"/>
      <c r="G15" s="6"/>
    </row>
    <row r="16" spans="1:7" s="4" customFormat="1" ht="9.75" x14ac:dyDescent="0.2">
      <c r="A16" s="7" t="s">
        <v>31</v>
      </c>
      <c r="B16" s="7" t="s">
        <v>32</v>
      </c>
      <c r="C16" s="8">
        <v>19444</v>
      </c>
      <c r="D16" s="8">
        <v>300040</v>
      </c>
      <c r="E16" s="6"/>
      <c r="F16" s="6"/>
      <c r="G16" s="6"/>
    </row>
    <row r="17" spans="1:7" s="4" customFormat="1" ht="9.75" x14ac:dyDescent="0.2">
      <c r="A17" s="7" t="s">
        <v>33</v>
      </c>
      <c r="B17" s="7" t="s">
        <v>34</v>
      </c>
      <c r="C17" s="8">
        <v>15240</v>
      </c>
      <c r="D17" s="8">
        <v>140576</v>
      </c>
      <c r="E17" s="6"/>
      <c r="F17" s="6"/>
      <c r="G17" s="6"/>
    </row>
    <row r="18" spans="1:7" s="4" customFormat="1" ht="9.75" x14ac:dyDescent="0.2">
      <c r="A18" s="7" t="s">
        <v>35</v>
      </c>
      <c r="B18" s="7" t="s">
        <v>36</v>
      </c>
      <c r="C18" s="8">
        <v>3275</v>
      </c>
      <c r="D18" s="8">
        <v>59845</v>
      </c>
      <c r="E18" s="6"/>
      <c r="F18" s="6"/>
      <c r="G18" s="6"/>
    </row>
    <row r="19" spans="1:7" s="4" customFormat="1" ht="9.75" x14ac:dyDescent="0.2">
      <c r="A19" s="7" t="s">
        <v>37</v>
      </c>
      <c r="B19" s="7" t="s">
        <v>38</v>
      </c>
      <c r="C19" s="9">
        <v>340</v>
      </c>
      <c r="D19" s="8">
        <v>9763</v>
      </c>
      <c r="E19" s="6"/>
      <c r="F19" s="6"/>
      <c r="G19" s="6"/>
    </row>
    <row r="20" spans="1:7" s="4" customFormat="1" ht="9.75" x14ac:dyDescent="0.2">
      <c r="A20" s="7" t="s">
        <v>39</v>
      </c>
      <c r="B20" s="7" t="s">
        <v>40</v>
      </c>
      <c r="C20" s="5" t="s">
        <v>10</v>
      </c>
      <c r="D20" s="8">
        <v>306893.75</v>
      </c>
      <c r="E20" s="6"/>
      <c r="F20" s="6"/>
      <c r="G20" s="6"/>
    </row>
    <row r="21" spans="1:7" s="4" customFormat="1" ht="9.75" x14ac:dyDescent="0.2">
      <c r="A21" s="7" t="s">
        <v>41</v>
      </c>
      <c r="B21" s="7" t="s">
        <v>42</v>
      </c>
      <c r="C21" s="5" t="s">
        <v>10</v>
      </c>
      <c r="D21" s="8">
        <v>14000</v>
      </c>
      <c r="E21" s="6"/>
      <c r="F21" s="6"/>
      <c r="G21" s="6"/>
    </row>
    <row r="22" spans="1:7" s="4" customFormat="1" ht="9.75" x14ac:dyDescent="0.2">
      <c r="A22" s="7" t="s">
        <v>43</v>
      </c>
      <c r="B22" s="7" t="s">
        <v>44</v>
      </c>
      <c r="C22" s="5" t="s">
        <v>10</v>
      </c>
      <c r="D22" s="8">
        <v>147362</v>
      </c>
      <c r="E22" s="6"/>
      <c r="F22" s="6"/>
      <c r="G22" s="6"/>
    </row>
    <row r="23" spans="1:7" s="4" customFormat="1" ht="9.75" x14ac:dyDescent="0.2">
      <c r="A23" s="7" t="s">
        <v>45</v>
      </c>
      <c r="B23" s="7" t="s">
        <v>46</v>
      </c>
      <c r="C23" s="5" t="s">
        <v>10</v>
      </c>
      <c r="D23" s="8">
        <v>88000</v>
      </c>
      <c r="E23" s="6"/>
      <c r="F23" s="6"/>
      <c r="G23" s="6"/>
    </row>
    <row r="24" spans="1:7" s="4" customFormat="1" x14ac:dyDescent="0.2">
      <c r="A24" s="35" t="s">
        <v>47</v>
      </c>
      <c r="B24" s="36"/>
      <c r="C24" s="8">
        <v>4129240</v>
      </c>
      <c r="D24" s="8">
        <v>36165579.75</v>
      </c>
      <c r="E24" s="6"/>
      <c r="F24" s="6"/>
      <c r="G24" s="6"/>
    </row>
    <row r="25" spans="1:7" s="4" customFormat="1" x14ac:dyDescent="0.2">
      <c r="A25" s="35" t="s">
        <v>48</v>
      </c>
      <c r="B25" s="36"/>
      <c r="C25" s="5" t="s">
        <v>10</v>
      </c>
      <c r="D25" s="5" t="s">
        <v>10</v>
      </c>
      <c r="E25" s="6"/>
      <c r="F25" s="6"/>
      <c r="G25" s="6"/>
    </row>
    <row r="26" spans="1:7" s="4" customFormat="1" ht="9.75" x14ac:dyDescent="0.2">
      <c r="A26" s="7" t="s">
        <v>11</v>
      </c>
      <c r="B26" s="7" t="s">
        <v>49</v>
      </c>
      <c r="C26" s="8">
        <v>20000</v>
      </c>
      <c r="D26" s="8">
        <v>140000</v>
      </c>
      <c r="E26" s="6"/>
      <c r="F26" s="6"/>
      <c r="G26" s="6"/>
    </row>
    <row r="27" spans="1:7" s="4" customFormat="1" ht="9.75" x14ac:dyDescent="0.2">
      <c r="A27" s="7" t="s">
        <v>13</v>
      </c>
      <c r="B27" s="7" t="s">
        <v>50</v>
      </c>
      <c r="C27" s="8">
        <v>20000</v>
      </c>
      <c r="D27" s="8">
        <v>30000</v>
      </c>
      <c r="E27" s="6"/>
      <c r="F27" s="6"/>
      <c r="G27" s="6"/>
    </row>
    <row r="28" spans="1:7" s="4" customFormat="1" ht="9.75" x14ac:dyDescent="0.2">
      <c r="A28" s="7" t="s">
        <v>15</v>
      </c>
      <c r="B28" s="7" t="s">
        <v>51</v>
      </c>
      <c r="C28" s="8">
        <v>20000</v>
      </c>
      <c r="D28" s="8">
        <v>130000</v>
      </c>
      <c r="E28" s="6"/>
      <c r="F28" s="6"/>
      <c r="G28" s="6"/>
    </row>
    <row r="29" spans="1:7" s="4" customFormat="1" ht="9.75" x14ac:dyDescent="0.2">
      <c r="A29" s="7" t="s">
        <v>17</v>
      </c>
      <c r="B29" s="7" t="s">
        <v>52</v>
      </c>
      <c r="C29" s="8">
        <v>20000</v>
      </c>
      <c r="D29" s="8">
        <v>140000</v>
      </c>
      <c r="E29" s="6"/>
      <c r="F29" s="6"/>
      <c r="G29" s="6"/>
    </row>
    <row r="30" spans="1:7" s="4" customFormat="1" ht="9.75" x14ac:dyDescent="0.2">
      <c r="A30" s="7" t="s">
        <v>19</v>
      </c>
      <c r="B30" s="7" t="s">
        <v>53</v>
      </c>
      <c r="C30" s="8">
        <v>20000</v>
      </c>
      <c r="D30" s="8">
        <v>25000</v>
      </c>
      <c r="E30" s="6"/>
      <c r="F30" s="6"/>
      <c r="G30" s="6"/>
    </row>
    <row r="31" spans="1:7" s="4" customFormat="1" ht="9.75" x14ac:dyDescent="0.2">
      <c r="A31" s="7" t="s">
        <v>21</v>
      </c>
      <c r="B31" s="7" t="s">
        <v>54</v>
      </c>
      <c r="C31" s="8">
        <v>20000</v>
      </c>
      <c r="D31" s="8">
        <v>130000</v>
      </c>
      <c r="E31" s="6"/>
      <c r="F31" s="6"/>
      <c r="G31" s="6"/>
    </row>
    <row r="32" spans="1:7" s="4" customFormat="1" ht="9.75" x14ac:dyDescent="0.2">
      <c r="A32" s="7" t="s">
        <v>23</v>
      </c>
      <c r="B32" s="7" t="s">
        <v>55</v>
      </c>
      <c r="C32" s="8">
        <v>20000</v>
      </c>
      <c r="D32" s="8">
        <v>110000</v>
      </c>
      <c r="E32" s="6"/>
      <c r="F32" s="6"/>
      <c r="G32" s="6"/>
    </row>
    <row r="33" spans="1:7" s="4" customFormat="1" ht="9.75" x14ac:dyDescent="0.2">
      <c r="A33" s="7" t="s">
        <v>25</v>
      </c>
      <c r="B33" s="7" t="s">
        <v>56</v>
      </c>
      <c r="C33" s="8">
        <v>20000</v>
      </c>
      <c r="D33" s="8">
        <v>130000</v>
      </c>
      <c r="E33" s="6"/>
      <c r="F33" s="6"/>
      <c r="G33" s="6"/>
    </row>
    <row r="34" spans="1:7" s="4" customFormat="1" ht="9.75" x14ac:dyDescent="0.2">
      <c r="A34" s="7" t="s">
        <v>27</v>
      </c>
      <c r="B34" s="7" t="s">
        <v>57</v>
      </c>
      <c r="C34" s="8">
        <v>20000</v>
      </c>
      <c r="D34" s="8">
        <v>105000</v>
      </c>
      <c r="E34" s="6"/>
      <c r="F34" s="6"/>
      <c r="G34" s="6"/>
    </row>
    <row r="35" spans="1:7" s="4" customFormat="1" ht="9.75" x14ac:dyDescent="0.2">
      <c r="A35" s="7" t="s">
        <v>29</v>
      </c>
      <c r="B35" s="7" t="s">
        <v>58</v>
      </c>
      <c r="C35" s="8">
        <v>20000</v>
      </c>
      <c r="D35" s="8">
        <v>140000</v>
      </c>
      <c r="E35" s="6"/>
      <c r="F35" s="6"/>
      <c r="G35" s="6"/>
    </row>
    <row r="36" spans="1:7" s="4" customFormat="1" ht="9.75" x14ac:dyDescent="0.2">
      <c r="A36" s="7" t="s">
        <v>31</v>
      </c>
      <c r="B36" s="7" t="s">
        <v>59</v>
      </c>
      <c r="C36" s="8">
        <v>20000</v>
      </c>
      <c r="D36" s="8">
        <v>185000</v>
      </c>
      <c r="E36" s="6"/>
      <c r="F36" s="6"/>
      <c r="G36" s="6"/>
    </row>
    <row r="37" spans="1:7" s="4" customFormat="1" ht="9.75" x14ac:dyDescent="0.2">
      <c r="A37" s="7" t="s">
        <v>33</v>
      </c>
      <c r="B37" s="7" t="s">
        <v>60</v>
      </c>
      <c r="C37" s="8">
        <v>20000</v>
      </c>
      <c r="D37" s="8">
        <v>140000</v>
      </c>
      <c r="E37" s="6"/>
      <c r="F37" s="6"/>
      <c r="G37" s="6"/>
    </row>
    <row r="38" spans="1:7" s="4" customFormat="1" ht="9.75" x14ac:dyDescent="0.2">
      <c r="A38" s="7" t="s">
        <v>35</v>
      </c>
      <c r="B38" s="7" t="s">
        <v>61</v>
      </c>
      <c r="C38" s="8">
        <v>20000</v>
      </c>
      <c r="D38" s="8">
        <v>20000</v>
      </c>
      <c r="E38" s="6"/>
      <c r="F38" s="6"/>
      <c r="G38" s="6"/>
    </row>
    <row r="39" spans="1:7" s="4" customFormat="1" ht="9.75" x14ac:dyDescent="0.2">
      <c r="A39" s="7" t="s">
        <v>37</v>
      </c>
      <c r="B39" s="7" t="s">
        <v>62</v>
      </c>
      <c r="C39" s="8">
        <v>20000</v>
      </c>
      <c r="D39" s="8">
        <v>215000</v>
      </c>
      <c r="E39" s="6"/>
      <c r="F39" s="6"/>
      <c r="G39" s="6"/>
    </row>
    <row r="40" spans="1:7" s="4" customFormat="1" ht="9.75" x14ac:dyDescent="0.2">
      <c r="A40" s="7" t="s">
        <v>39</v>
      </c>
      <c r="B40" s="7" t="s">
        <v>63</v>
      </c>
      <c r="C40" s="8">
        <v>15000</v>
      </c>
      <c r="D40" s="8">
        <v>65000</v>
      </c>
      <c r="E40" s="6"/>
      <c r="F40" s="6"/>
      <c r="G40" s="6"/>
    </row>
    <row r="41" spans="1:7" s="4" customFormat="1" ht="9.75" x14ac:dyDescent="0.2">
      <c r="A41" s="7" t="s">
        <v>41</v>
      </c>
      <c r="B41" s="7" t="s">
        <v>64</v>
      </c>
      <c r="C41" s="8">
        <v>15000</v>
      </c>
      <c r="D41" s="8">
        <v>215000</v>
      </c>
      <c r="E41" s="6"/>
      <c r="F41" s="6"/>
      <c r="G41" s="6"/>
    </row>
    <row r="42" spans="1:7" s="4" customFormat="1" ht="9.75" x14ac:dyDescent="0.2">
      <c r="A42" s="7" t="s">
        <v>43</v>
      </c>
      <c r="B42" s="7" t="s">
        <v>65</v>
      </c>
      <c r="C42" s="8">
        <v>15000</v>
      </c>
      <c r="D42" s="8">
        <v>165000</v>
      </c>
      <c r="E42" s="6"/>
      <c r="F42" s="6"/>
      <c r="G42" s="6"/>
    </row>
    <row r="43" spans="1:7" s="4" customFormat="1" ht="9.75" x14ac:dyDescent="0.2">
      <c r="A43" s="7" t="s">
        <v>45</v>
      </c>
      <c r="B43" s="7" t="s">
        <v>66</v>
      </c>
      <c r="C43" s="8">
        <v>10000</v>
      </c>
      <c r="D43" s="8">
        <v>130000</v>
      </c>
      <c r="E43" s="6"/>
      <c r="F43" s="6"/>
      <c r="G43" s="6"/>
    </row>
    <row r="44" spans="1:7" s="4" customFormat="1" ht="9.75" x14ac:dyDescent="0.2">
      <c r="A44" s="7" t="s">
        <v>67</v>
      </c>
      <c r="B44" s="7" t="s">
        <v>68</v>
      </c>
      <c r="C44" s="5" t="s">
        <v>10</v>
      </c>
      <c r="D44" s="8">
        <v>39000</v>
      </c>
      <c r="E44" s="6"/>
      <c r="F44" s="6"/>
      <c r="G44" s="6"/>
    </row>
    <row r="45" spans="1:7" s="4" customFormat="1" ht="9.75" x14ac:dyDescent="0.2">
      <c r="A45" s="7" t="s">
        <v>69</v>
      </c>
      <c r="B45" s="7" t="s">
        <v>70</v>
      </c>
      <c r="C45" s="5" t="s">
        <v>10</v>
      </c>
      <c r="D45" s="8">
        <v>270000</v>
      </c>
      <c r="E45" s="6"/>
      <c r="F45" s="6"/>
      <c r="G45" s="6"/>
    </row>
    <row r="46" spans="1:7" s="4" customFormat="1" x14ac:dyDescent="0.2">
      <c r="A46" s="35" t="s">
        <v>71</v>
      </c>
      <c r="B46" s="36"/>
      <c r="C46" s="8">
        <v>335000</v>
      </c>
      <c r="D46" s="8">
        <v>2524000</v>
      </c>
      <c r="E46" s="6"/>
      <c r="F46" s="6"/>
      <c r="G46" s="6"/>
    </row>
    <row r="47" spans="1:7" s="4" customFormat="1" x14ac:dyDescent="0.2">
      <c r="A47" s="35" t="s">
        <v>72</v>
      </c>
      <c r="B47" s="36"/>
      <c r="C47" s="5" t="s">
        <v>10</v>
      </c>
      <c r="D47" s="5" t="s">
        <v>10</v>
      </c>
      <c r="E47" s="6"/>
      <c r="F47" s="6"/>
      <c r="G47" s="6"/>
    </row>
    <row r="48" spans="1:7" s="4" customFormat="1" ht="9.75" x14ac:dyDescent="0.2">
      <c r="A48" s="7" t="s">
        <v>11</v>
      </c>
      <c r="B48" s="7" t="s">
        <v>73</v>
      </c>
      <c r="C48" s="8">
        <v>179000</v>
      </c>
      <c r="D48" s="8">
        <v>179000</v>
      </c>
      <c r="E48" s="6"/>
      <c r="F48" s="6"/>
      <c r="G48" s="6"/>
    </row>
    <row r="49" spans="1:7" s="4" customFormat="1" ht="9.75" x14ac:dyDescent="0.2">
      <c r="A49" s="7" t="s">
        <v>13</v>
      </c>
      <c r="B49" s="7" t="s">
        <v>74</v>
      </c>
      <c r="C49" s="5" t="s">
        <v>10</v>
      </c>
      <c r="D49" s="8">
        <v>850000</v>
      </c>
      <c r="E49" s="6"/>
      <c r="F49" s="6"/>
      <c r="G49" s="6"/>
    </row>
    <row r="50" spans="1:7" s="4" customFormat="1" ht="9.75" x14ac:dyDescent="0.2">
      <c r="A50" s="7" t="s">
        <v>15</v>
      </c>
      <c r="B50" s="7" t="s">
        <v>75</v>
      </c>
      <c r="C50" s="5" t="s">
        <v>10</v>
      </c>
      <c r="D50" s="8">
        <v>4500000</v>
      </c>
      <c r="E50" s="6"/>
      <c r="F50" s="6"/>
      <c r="G50" s="6"/>
    </row>
    <row r="51" spans="1:7" s="4" customFormat="1" ht="9.75" x14ac:dyDescent="0.2">
      <c r="A51" s="7" t="s">
        <v>17</v>
      </c>
      <c r="B51" s="7" t="s">
        <v>76</v>
      </c>
      <c r="C51" s="5" t="s">
        <v>10</v>
      </c>
      <c r="D51" s="8">
        <v>10000</v>
      </c>
      <c r="E51" s="6"/>
      <c r="F51" s="6"/>
      <c r="G51" s="6"/>
    </row>
    <row r="52" spans="1:7" s="4" customFormat="1" x14ac:dyDescent="0.2">
      <c r="A52" s="35" t="s">
        <v>77</v>
      </c>
      <c r="B52" s="36"/>
      <c r="C52" s="8">
        <v>179000</v>
      </c>
      <c r="D52" s="8">
        <v>5539000</v>
      </c>
      <c r="E52" s="6"/>
      <c r="F52" s="6"/>
      <c r="G52" s="6"/>
    </row>
    <row r="53" spans="1:7" s="4" customFormat="1" x14ac:dyDescent="0.2">
      <c r="A53" s="35" t="s">
        <v>78</v>
      </c>
      <c r="B53" s="36"/>
      <c r="C53" s="5" t="s">
        <v>10</v>
      </c>
      <c r="D53" s="5" t="s">
        <v>10</v>
      </c>
      <c r="E53" s="6"/>
      <c r="F53" s="6"/>
      <c r="G53" s="6"/>
    </row>
    <row r="54" spans="1:7" s="4" customFormat="1" ht="9.75" x14ac:dyDescent="0.2">
      <c r="A54" s="7" t="s">
        <v>11</v>
      </c>
      <c r="B54" s="7" t="s">
        <v>79</v>
      </c>
      <c r="C54" s="8">
        <v>-41450</v>
      </c>
      <c r="D54" s="8">
        <v>-322164</v>
      </c>
      <c r="E54" s="6"/>
      <c r="F54" s="6"/>
      <c r="G54" s="6"/>
    </row>
    <row r="55" spans="1:7" s="4" customFormat="1" ht="9.75" x14ac:dyDescent="0.2">
      <c r="A55" s="7" t="s">
        <v>13</v>
      </c>
      <c r="B55" s="7" t="s">
        <v>80</v>
      </c>
      <c r="C55" s="5" t="s">
        <v>10</v>
      </c>
      <c r="D55" s="8">
        <v>-184850</v>
      </c>
      <c r="E55" s="6"/>
      <c r="F55" s="6"/>
      <c r="G55" s="6"/>
    </row>
    <row r="56" spans="1:7" s="4" customFormat="1" x14ac:dyDescent="0.2">
      <c r="A56" s="35" t="s">
        <v>81</v>
      </c>
      <c r="B56" s="36"/>
      <c r="C56" s="8">
        <v>-41450</v>
      </c>
      <c r="D56" s="8">
        <v>-507014</v>
      </c>
      <c r="E56" s="6"/>
      <c r="F56" s="6"/>
      <c r="G56" s="6"/>
    </row>
    <row r="57" spans="1:7" s="4" customFormat="1" x14ac:dyDescent="0.2">
      <c r="A57" s="35" t="s">
        <v>82</v>
      </c>
      <c r="B57" s="36"/>
      <c r="C57" s="5" t="s">
        <v>10</v>
      </c>
      <c r="D57" s="5" t="s">
        <v>10</v>
      </c>
      <c r="E57" s="6"/>
      <c r="F57" s="6"/>
      <c r="G57" s="6"/>
    </row>
    <row r="58" spans="1:7" s="4" customFormat="1" ht="9.75" x14ac:dyDescent="0.2">
      <c r="A58" s="7" t="s">
        <v>11</v>
      </c>
      <c r="B58" s="7" t="s">
        <v>83</v>
      </c>
      <c r="C58" s="8">
        <v>-15100</v>
      </c>
      <c r="D58" s="8">
        <v>-114500</v>
      </c>
      <c r="E58" s="6"/>
      <c r="F58" s="6"/>
      <c r="G58" s="6"/>
    </row>
    <row r="59" spans="1:7" s="4" customFormat="1" ht="9.75" x14ac:dyDescent="0.2">
      <c r="A59" s="7" t="s">
        <v>13</v>
      </c>
      <c r="B59" s="7" t="s">
        <v>84</v>
      </c>
      <c r="C59" s="8">
        <v>-8850</v>
      </c>
      <c r="D59" s="8">
        <v>-19411</v>
      </c>
      <c r="E59" s="6"/>
      <c r="F59" s="6"/>
      <c r="G59" s="6"/>
    </row>
    <row r="60" spans="1:7" s="4" customFormat="1" ht="9.75" x14ac:dyDescent="0.2">
      <c r="A60" s="7" t="s">
        <v>15</v>
      </c>
      <c r="B60" s="7" t="s">
        <v>85</v>
      </c>
      <c r="C60" s="5" t="s">
        <v>10</v>
      </c>
      <c r="D60" s="8">
        <v>-4000</v>
      </c>
      <c r="E60" s="6"/>
      <c r="F60" s="6"/>
      <c r="G60" s="6"/>
    </row>
    <row r="61" spans="1:7" s="4" customFormat="1" ht="18" x14ac:dyDescent="0.2">
      <c r="A61" s="7" t="s">
        <v>17</v>
      </c>
      <c r="B61" s="7" t="s">
        <v>86</v>
      </c>
      <c r="C61" s="5" t="s">
        <v>10</v>
      </c>
      <c r="D61" s="8">
        <v>-16499</v>
      </c>
      <c r="E61" s="6"/>
      <c r="F61" s="6"/>
      <c r="G61" s="6"/>
    </row>
    <row r="62" spans="1:7" s="4" customFormat="1" ht="9.75" x14ac:dyDescent="0.2">
      <c r="A62" s="7" t="s">
        <v>19</v>
      </c>
      <c r="B62" s="7" t="s">
        <v>87</v>
      </c>
      <c r="C62" s="5" t="s">
        <v>10</v>
      </c>
      <c r="D62" s="8">
        <v>-57974.87</v>
      </c>
      <c r="E62" s="6"/>
      <c r="F62" s="6"/>
      <c r="G62" s="6"/>
    </row>
    <row r="63" spans="1:7" s="4" customFormat="1" ht="9.75" x14ac:dyDescent="0.2">
      <c r="A63" s="7" t="s">
        <v>21</v>
      </c>
      <c r="B63" s="7" t="s">
        <v>36</v>
      </c>
      <c r="C63" s="5" t="s">
        <v>10</v>
      </c>
      <c r="D63" s="8">
        <v>-50400</v>
      </c>
      <c r="E63" s="6"/>
      <c r="F63" s="6"/>
      <c r="G63" s="6"/>
    </row>
    <row r="64" spans="1:7" s="4" customFormat="1" ht="9.75" x14ac:dyDescent="0.2">
      <c r="A64" s="7" t="s">
        <v>23</v>
      </c>
      <c r="B64" s="7" t="s">
        <v>88</v>
      </c>
      <c r="C64" s="5" t="s">
        <v>10</v>
      </c>
      <c r="D64" s="8">
        <v>-720090</v>
      </c>
      <c r="E64" s="6"/>
      <c r="F64" s="6"/>
      <c r="G64" s="6"/>
    </row>
    <row r="65" spans="1:7" s="4" customFormat="1" ht="9.75" x14ac:dyDescent="0.2">
      <c r="A65" s="7" t="s">
        <v>25</v>
      </c>
      <c r="B65" s="7" t="s">
        <v>89</v>
      </c>
      <c r="C65" s="5" t="s">
        <v>10</v>
      </c>
      <c r="D65" s="8">
        <v>-12000</v>
      </c>
      <c r="E65" s="6"/>
      <c r="F65" s="6"/>
      <c r="G65" s="6"/>
    </row>
    <row r="66" spans="1:7" s="4" customFormat="1" ht="9.75" x14ac:dyDescent="0.2">
      <c r="A66" s="7" t="s">
        <v>27</v>
      </c>
      <c r="B66" s="7" t="s">
        <v>90</v>
      </c>
      <c r="C66" s="5" t="s">
        <v>10</v>
      </c>
      <c r="D66" s="8">
        <v>-1000</v>
      </c>
      <c r="E66" s="6"/>
      <c r="F66" s="6"/>
      <c r="G66" s="6"/>
    </row>
    <row r="67" spans="1:7" s="4" customFormat="1" ht="9.75" x14ac:dyDescent="0.2">
      <c r="A67" s="7" t="s">
        <v>29</v>
      </c>
      <c r="B67" s="7" t="s">
        <v>91</v>
      </c>
      <c r="C67" s="5" t="s">
        <v>10</v>
      </c>
      <c r="D67" s="8">
        <v>-1320</v>
      </c>
      <c r="E67" s="6"/>
      <c r="F67" s="6"/>
      <c r="G67" s="6"/>
    </row>
    <row r="68" spans="1:7" s="4" customFormat="1" ht="9.75" x14ac:dyDescent="0.2">
      <c r="A68" s="7" t="s">
        <v>31</v>
      </c>
      <c r="B68" s="7" t="s">
        <v>92</v>
      </c>
      <c r="C68" s="5" t="s">
        <v>10</v>
      </c>
      <c r="D68" s="8">
        <v>-2605</v>
      </c>
      <c r="E68" s="6"/>
      <c r="F68" s="6"/>
      <c r="G68" s="6"/>
    </row>
    <row r="69" spans="1:7" s="4" customFormat="1" ht="9.75" x14ac:dyDescent="0.2">
      <c r="A69" s="7" t="s">
        <v>33</v>
      </c>
      <c r="B69" s="7" t="s">
        <v>93</v>
      </c>
      <c r="C69" s="5" t="s">
        <v>10</v>
      </c>
      <c r="D69" s="8">
        <v>-15000</v>
      </c>
      <c r="E69" s="6"/>
      <c r="F69" s="6"/>
      <c r="G69" s="6"/>
    </row>
    <row r="70" spans="1:7" s="4" customFormat="1" ht="9.75" x14ac:dyDescent="0.2">
      <c r="A70" s="7" t="s">
        <v>35</v>
      </c>
      <c r="B70" s="7" t="s">
        <v>94</v>
      </c>
      <c r="C70" s="5" t="s">
        <v>10</v>
      </c>
      <c r="D70" s="8">
        <v>-16500</v>
      </c>
      <c r="E70" s="6"/>
      <c r="F70" s="6"/>
      <c r="G70" s="6"/>
    </row>
    <row r="71" spans="1:7" s="4" customFormat="1" x14ac:dyDescent="0.2">
      <c r="A71" s="35" t="s">
        <v>95</v>
      </c>
      <c r="B71" s="36"/>
      <c r="C71" s="8">
        <v>-23950</v>
      </c>
      <c r="D71" s="8">
        <v>-1031299.87</v>
      </c>
      <c r="E71" s="6"/>
      <c r="F71" s="6"/>
      <c r="G71" s="6"/>
    </row>
    <row r="72" spans="1:7" s="4" customFormat="1" x14ac:dyDescent="0.2">
      <c r="A72" s="35" t="s">
        <v>96</v>
      </c>
      <c r="B72" s="36"/>
      <c r="C72" s="5" t="s">
        <v>10</v>
      </c>
      <c r="D72" s="5" t="s">
        <v>10</v>
      </c>
      <c r="E72" s="6"/>
      <c r="F72" s="6"/>
      <c r="G72" s="6"/>
    </row>
    <row r="73" spans="1:7" s="4" customFormat="1" ht="9.75" x14ac:dyDescent="0.2">
      <c r="A73" s="7" t="s">
        <v>11</v>
      </c>
      <c r="B73" s="7" t="s">
        <v>97</v>
      </c>
      <c r="C73" s="8">
        <v>-30900</v>
      </c>
      <c r="D73" s="8">
        <v>-322250</v>
      </c>
      <c r="E73" s="6"/>
      <c r="F73" s="6"/>
      <c r="G73" s="6"/>
    </row>
    <row r="74" spans="1:7" s="4" customFormat="1" x14ac:dyDescent="0.2">
      <c r="A74" s="35" t="s">
        <v>98</v>
      </c>
      <c r="B74" s="36"/>
      <c r="C74" s="8">
        <v>-30900</v>
      </c>
      <c r="D74" s="8">
        <v>-322250</v>
      </c>
      <c r="E74" s="6"/>
      <c r="F74" s="6"/>
      <c r="G74" s="6"/>
    </row>
    <row r="75" spans="1:7" s="4" customFormat="1" x14ac:dyDescent="0.2">
      <c r="A75" s="35" t="s">
        <v>99</v>
      </c>
      <c r="B75" s="36"/>
      <c r="C75" s="5" t="s">
        <v>10</v>
      </c>
      <c r="D75" s="5" t="s">
        <v>10</v>
      </c>
      <c r="E75" s="6"/>
      <c r="F75" s="6"/>
      <c r="G75" s="6"/>
    </row>
    <row r="76" spans="1:7" s="4" customFormat="1" ht="9.75" x14ac:dyDescent="0.2">
      <c r="A76" s="7" t="s">
        <v>11</v>
      </c>
      <c r="B76" s="7" t="s">
        <v>80</v>
      </c>
      <c r="C76" s="8">
        <v>-154100</v>
      </c>
      <c r="D76" s="8">
        <v>-230000</v>
      </c>
      <c r="E76" s="6"/>
      <c r="F76" s="6"/>
      <c r="G76" s="6"/>
    </row>
    <row r="77" spans="1:7" s="4" customFormat="1" ht="9.75" x14ac:dyDescent="0.2">
      <c r="A77" s="7" t="s">
        <v>13</v>
      </c>
      <c r="B77" s="7" t="s">
        <v>100</v>
      </c>
      <c r="C77" s="8">
        <v>-1471</v>
      </c>
      <c r="D77" s="8">
        <v>-136021</v>
      </c>
      <c r="E77" s="6"/>
      <c r="F77" s="6"/>
      <c r="G77" s="6"/>
    </row>
    <row r="78" spans="1:7" s="4" customFormat="1" ht="9.75" x14ac:dyDescent="0.2">
      <c r="A78" s="7" t="s">
        <v>15</v>
      </c>
      <c r="B78" s="7" t="s">
        <v>101</v>
      </c>
      <c r="C78" s="5" t="s">
        <v>10</v>
      </c>
      <c r="D78" s="8">
        <v>-10000</v>
      </c>
      <c r="E78" s="6"/>
      <c r="F78" s="6"/>
      <c r="G78" s="6"/>
    </row>
    <row r="79" spans="1:7" s="4" customFormat="1" ht="9.75" x14ac:dyDescent="0.2">
      <c r="A79" s="7" t="s">
        <v>17</v>
      </c>
      <c r="B79" s="7" t="s">
        <v>102</v>
      </c>
      <c r="C79" s="5" t="s">
        <v>10</v>
      </c>
      <c r="D79" s="8">
        <v>-31522</v>
      </c>
      <c r="E79" s="6"/>
      <c r="F79" s="6"/>
      <c r="G79" s="6"/>
    </row>
    <row r="80" spans="1:7" s="4" customFormat="1" x14ac:dyDescent="0.2">
      <c r="A80" s="35" t="s">
        <v>103</v>
      </c>
      <c r="B80" s="36"/>
      <c r="C80" s="8">
        <v>-155571</v>
      </c>
      <c r="D80" s="8">
        <v>-407543</v>
      </c>
      <c r="E80" s="6"/>
      <c r="F80" s="6"/>
      <c r="G80" s="6"/>
    </row>
    <row r="81" spans="1:7" s="4" customFormat="1" x14ac:dyDescent="0.2">
      <c r="A81" s="35" t="s">
        <v>104</v>
      </c>
      <c r="B81" s="36"/>
      <c r="C81" s="5" t="s">
        <v>10</v>
      </c>
      <c r="D81" s="5" t="s">
        <v>10</v>
      </c>
      <c r="E81" s="6"/>
      <c r="F81" s="6"/>
      <c r="G81" s="6"/>
    </row>
    <row r="82" spans="1:7" s="4" customFormat="1" ht="9.75" x14ac:dyDescent="0.2">
      <c r="A82" s="7" t="s">
        <v>11</v>
      </c>
      <c r="B82" s="7" t="s">
        <v>105</v>
      </c>
      <c r="C82" s="8">
        <v>-45000</v>
      </c>
      <c r="D82" s="8">
        <v>-60062</v>
      </c>
      <c r="E82" s="6"/>
      <c r="F82" s="6"/>
      <c r="G82" s="6"/>
    </row>
    <row r="83" spans="1:7" s="4" customFormat="1" ht="9.75" x14ac:dyDescent="0.2">
      <c r="A83" s="7" t="s">
        <v>13</v>
      </c>
      <c r="B83" s="7" t="s">
        <v>106</v>
      </c>
      <c r="C83" s="8">
        <v>-27600</v>
      </c>
      <c r="D83" s="8">
        <v>-27600</v>
      </c>
      <c r="E83" s="6"/>
      <c r="F83" s="6"/>
      <c r="G83" s="6"/>
    </row>
    <row r="84" spans="1:7" s="4" customFormat="1" ht="9.75" x14ac:dyDescent="0.2">
      <c r="A84" s="7" t="s">
        <v>15</v>
      </c>
      <c r="B84" s="7" t="s">
        <v>107</v>
      </c>
      <c r="C84" s="9">
        <v>-570</v>
      </c>
      <c r="D84" s="8">
        <v>-6343.48</v>
      </c>
      <c r="E84" s="6"/>
      <c r="F84" s="6"/>
      <c r="G84" s="6"/>
    </row>
    <row r="85" spans="1:7" s="4" customFormat="1" ht="9.75" x14ac:dyDescent="0.2">
      <c r="A85" s="7" t="s">
        <v>17</v>
      </c>
      <c r="B85" s="7" t="s">
        <v>108</v>
      </c>
      <c r="C85" s="5" t="s">
        <v>10</v>
      </c>
      <c r="D85" s="8">
        <v>-15560</v>
      </c>
      <c r="E85" s="6"/>
      <c r="F85" s="6"/>
      <c r="G85" s="6"/>
    </row>
    <row r="86" spans="1:7" s="4" customFormat="1" ht="9.75" x14ac:dyDescent="0.2">
      <c r="A86" s="7" t="s">
        <v>19</v>
      </c>
      <c r="B86" s="7" t="s">
        <v>109</v>
      </c>
      <c r="C86" s="5" t="s">
        <v>10</v>
      </c>
      <c r="D86" s="8">
        <v>-113480.45</v>
      </c>
      <c r="E86" s="6"/>
      <c r="F86" s="6"/>
      <c r="G86" s="6"/>
    </row>
    <row r="87" spans="1:7" s="4" customFormat="1" ht="9.75" x14ac:dyDescent="0.2">
      <c r="A87" s="7" t="s">
        <v>21</v>
      </c>
      <c r="B87" s="7" t="s">
        <v>110</v>
      </c>
      <c r="C87" s="5" t="s">
        <v>10</v>
      </c>
      <c r="D87" s="8">
        <v>-89500</v>
      </c>
      <c r="E87" s="6"/>
      <c r="F87" s="6"/>
      <c r="G87" s="6"/>
    </row>
    <row r="88" spans="1:7" s="4" customFormat="1" ht="9.75" x14ac:dyDescent="0.2">
      <c r="A88" s="7" t="s">
        <v>23</v>
      </c>
      <c r="B88" s="7" t="s">
        <v>111</v>
      </c>
      <c r="C88" s="5" t="s">
        <v>10</v>
      </c>
      <c r="D88" s="8">
        <v>-10550</v>
      </c>
      <c r="E88" s="6"/>
      <c r="F88" s="6"/>
      <c r="G88" s="6"/>
    </row>
    <row r="89" spans="1:7" s="4" customFormat="1" ht="9.75" x14ac:dyDescent="0.2">
      <c r="A89" s="7" t="s">
        <v>25</v>
      </c>
      <c r="B89" s="7" t="s">
        <v>112</v>
      </c>
      <c r="C89" s="5" t="s">
        <v>10</v>
      </c>
      <c r="D89" s="8">
        <v>-295771</v>
      </c>
      <c r="E89" s="6"/>
      <c r="F89" s="6"/>
      <c r="G89" s="6"/>
    </row>
    <row r="90" spans="1:7" s="4" customFormat="1" ht="9.75" x14ac:dyDescent="0.2">
      <c r="A90" s="7" t="s">
        <v>27</v>
      </c>
      <c r="B90" s="7" t="s">
        <v>113</v>
      </c>
      <c r="C90" s="5" t="s">
        <v>10</v>
      </c>
      <c r="D90" s="8">
        <v>-4500</v>
      </c>
      <c r="E90" s="6"/>
      <c r="F90" s="6"/>
      <c r="G90" s="6"/>
    </row>
    <row r="91" spans="1:7" s="4" customFormat="1" ht="9.75" x14ac:dyDescent="0.2">
      <c r="A91" s="7" t="s">
        <v>29</v>
      </c>
      <c r="B91" s="7" t="s">
        <v>114</v>
      </c>
      <c r="C91" s="5" t="s">
        <v>10</v>
      </c>
      <c r="D91" s="8">
        <v>-58176</v>
      </c>
      <c r="E91" s="6"/>
      <c r="F91" s="6"/>
      <c r="G91" s="6"/>
    </row>
    <row r="92" spans="1:7" s="4" customFormat="1" ht="9.75" x14ac:dyDescent="0.2">
      <c r="A92" s="7" t="s">
        <v>31</v>
      </c>
      <c r="B92" s="7" t="s">
        <v>115</v>
      </c>
      <c r="C92" s="5" t="s">
        <v>10</v>
      </c>
      <c r="D92" s="8">
        <v>-97500</v>
      </c>
      <c r="E92" s="6"/>
      <c r="F92" s="6"/>
      <c r="G92" s="6"/>
    </row>
    <row r="93" spans="1:7" s="4" customFormat="1" ht="9.75" x14ac:dyDescent="0.2">
      <c r="A93" s="7" t="s">
        <v>33</v>
      </c>
      <c r="B93" s="7" t="s">
        <v>116</v>
      </c>
      <c r="C93" s="5" t="s">
        <v>10</v>
      </c>
      <c r="D93" s="8">
        <v>-1520300</v>
      </c>
      <c r="E93" s="6"/>
      <c r="F93" s="6"/>
      <c r="G93" s="6"/>
    </row>
    <row r="94" spans="1:7" s="4" customFormat="1" ht="9.75" x14ac:dyDescent="0.2">
      <c r="A94" s="7" t="s">
        <v>35</v>
      </c>
      <c r="B94" s="7" t="s">
        <v>117</v>
      </c>
      <c r="C94" s="5" t="s">
        <v>10</v>
      </c>
      <c r="D94" s="8">
        <v>-7000</v>
      </c>
      <c r="E94" s="6"/>
      <c r="F94" s="6"/>
      <c r="G94" s="6"/>
    </row>
    <row r="95" spans="1:7" s="4" customFormat="1" ht="9.75" x14ac:dyDescent="0.2">
      <c r="A95" s="7" t="s">
        <v>37</v>
      </c>
      <c r="B95" s="7" t="s">
        <v>118</v>
      </c>
      <c r="C95" s="5" t="s">
        <v>10</v>
      </c>
      <c r="D95" s="8">
        <v>-35000</v>
      </c>
      <c r="E95" s="6"/>
      <c r="F95" s="6"/>
      <c r="G95" s="6"/>
    </row>
    <row r="96" spans="1:7" s="4" customFormat="1" ht="9.75" x14ac:dyDescent="0.2">
      <c r="A96" s="7" t="s">
        <v>39</v>
      </c>
      <c r="B96" s="7" t="s">
        <v>119</v>
      </c>
      <c r="C96" s="5" t="s">
        <v>10</v>
      </c>
      <c r="D96" s="8">
        <v>-35000</v>
      </c>
      <c r="E96" s="6"/>
      <c r="F96" s="6"/>
      <c r="G96" s="6"/>
    </row>
    <row r="97" spans="1:7" s="4" customFormat="1" x14ac:dyDescent="0.2">
      <c r="A97" s="35" t="s">
        <v>120</v>
      </c>
      <c r="B97" s="36"/>
      <c r="C97" s="8">
        <v>-73170</v>
      </c>
      <c r="D97" s="8">
        <v>-2376342.9300000002</v>
      </c>
      <c r="E97" s="6"/>
      <c r="F97" s="6"/>
      <c r="G97" s="6"/>
    </row>
    <row r="98" spans="1:7" s="4" customFormat="1" x14ac:dyDescent="0.2">
      <c r="A98" s="35" t="s">
        <v>121</v>
      </c>
      <c r="B98" s="36"/>
      <c r="C98" s="5" t="s">
        <v>10</v>
      </c>
      <c r="D98" s="5" t="s">
        <v>10</v>
      </c>
      <c r="E98" s="6"/>
      <c r="F98" s="6"/>
      <c r="G98" s="6"/>
    </row>
    <row r="99" spans="1:7" s="4" customFormat="1" ht="9.75" x14ac:dyDescent="0.2">
      <c r="A99" s="7" t="s">
        <v>11</v>
      </c>
      <c r="B99" s="7" t="s">
        <v>122</v>
      </c>
      <c r="C99" s="8">
        <v>-1450000</v>
      </c>
      <c r="D99" s="8">
        <v>-1450000</v>
      </c>
      <c r="E99" s="6"/>
      <c r="F99" s="6"/>
      <c r="G99" s="6"/>
    </row>
    <row r="100" spans="1:7" s="4" customFormat="1" ht="9.75" x14ac:dyDescent="0.2">
      <c r="A100" s="7" t="s">
        <v>13</v>
      </c>
      <c r="B100" s="7" t="s">
        <v>123</v>
      </c>
      <c r="C100" s="5" t="s">
        <v>10</v>
      </c>
      <c r="D100" s="8">
        <v>-44043</v>
      </c>
      <c r="E100" s="6"/>
      <c r="F100" s="6"/>
      <c r="G100" s="6"/>
    </row>
    <row r="101" spans="1:7" s="4" customFormat="1" ht="9.75" x14ac:dyDescent="0.2">
      <c r="A101" s="7" t="s">
        <v>15</v>
      </c>
      <c r="B101" s="7" t="s">
        <v>124</v>
      </c>
      <c r="C101" s="5" t="s">
        <v>10</v>
      </c>
      <c r="D101" s="8">
        <v>-3013100</v>
      </c>
      <c r="E101" s="6"/>
      <c r="F101" s="6"/>
      <c r="G101" s="6"/>
    </row>
    <row r="102" spans="1:7" s="4" customFormat="1" x14ac:dyDescent="0.2">
      <c r="A102" s="35" t="s">
        <v>125</v>
      </c>
      <c r="B102" s="36"/>
      <c r="C102" s="8">
        <v>-1450000</v>
      </c>
      <c r="D102" s="8">
        <v>-4507143</v>
      </c>
      <c r="E102" s="6"/>
      <c r="F102" s="6"/>
      <c r="G102" s="6"/>
    </row>
    <row r="103" spans="1:7" s="4" customFormat="1" x14ac:dyDescent="0.2">
      <c r="A103" s="35" t="s">
        <v>126</v>
      </c>
      <c r="B103" s="36"/>
      <c r="C103" s="5" t="s">
        <v>10</v>
      </c>
      <c r="D103" s="5" t="s">
        <v>10</v>
      </c>
      <c r="E103" s="6"/>
      <c r="F103" s="6"/>
      <c r="G103" s="6"/>
    </row>
    <row r="104" spans="1:7" s="4" customFormat="1" ht="9.75" x14ac:dyDescent="0.2">
      <c r="A104" s="7" t="s">
        <v>11</v>
      </c>
      <c r="B104" s="7" t="s">
        <v>127</v>
      </c>
      <c r="C104" s="5" t="s">
        <v>10</v>
      </c>
      <c r="D104" s="8">
        <v>-1043797</v>
      </c>
      <c r="E104" s="6"/>
      <c r="F104" s="6"/>
      <c r="G104" s="6"/>
    </row>
    <row r="105" spans="1:7" s="4" customFormat="1" ht="9.75" x14ac:dyDescent="0.2">
      <c r="A105" s="7" t="s">
        <v>13</v>
      </c>
      <c r="B105" s="7" t="s">
        <v>128</v>
      </c>
      <c r="C105" s="5" t="s">
        <v>10</v>
      </c>
      <c r="D105" s="8">
        <v>-882779.1</v>
      </c>
      <c r="E105" s="6"/>
      <c r="F105" s="6"/>
      <c r="G105" s="6"/>
    </row>
    <row r="106" spans="1:7" s="4" customFormat="1" ht="9.75" x14ac:dyDescent="0.2">
      <c r="A106" s="7" t="s">
        <v>15</v>
      </c>
      <c r="B106" s="7" t="s">
        <v>129</v>
      </c>
      <c r="C106" s="5" t="s">
        <v>10</v>
      </c>
      <c r="D106" s="8">
        <v>-659443.74</v>
      </c>
      <c r="E106" s="6"/>
      <c r="F106" s="6"/>
      <c r="G106" s="6"/>
    </row>
    <row r="107" spans="1:7" s="4" customFormat="1" ht="9.75" x14ac:dyDescent="0.2">
      <c r="A107" s="7" t="s">
        <v>17</v>
      </c>
      <c r="B107" s="7" t="s">
        <v>130</v>
      </c>
      <c r="C107" s="5" t="s">
        <v>10</v>
      </c>
      <c r="D107" s="8">
        <v>-660167.62</v>
      </c>
      <c r="E107" s="6"/>
      <c r="F107" s="6"/>
      <c r="G107" s="6"/>
    </row>
    <row r="108" spans="1:7" s="4" customFormat="1" x14ac:dyDescent="0.2">
      <c r="A108" s="35" t="s">
        <v>131</v>
      </c>
      <c r="B108" s="36"/>
      <c r="C108" s="5" t="s">
        <v>10</v>
      </c>
      <c r="D108" s="8">
        <v>-3246187.46</v>
      </c>
      <c r="E108" s="6"/>
      <c r="F108" s="6"/>
      <c r="G108" s="6"/>
    </row>
    <row r="109" spans="1:7" s="4" customFormat="1" x14ac:dyDescent="0.2">
      <c r="A109" s="35" t="s">
        <v>132</v>
      </c>
      <c r="B109" s="36"/>
      <c r="C109" s="5" t="s">
        <v>10</v>
      </c>
      <c r="D109" s="5" t="s">
        <v>10</v>
      </c>
      <c r="E109" s="6"/>
      <c r="F109" s="6"/>
      <c r="G109" s="6"/>
    </row>
    <row r="110" spans="1:7" s="4" customFormat="1" ht="9.75" x14ac:dyDescent="0.2">
      <c r="A110" s="7" t="s">
        <v>11</v>
      </c>
      <c r="B110" s="7" t="s">
        <v>133</v>
      </c>
      <c r="C110" s="8">
        <v>-111142</v>
      </c>
      <c r="D110" s="8">
        <v>-111142</v>
      </c>
      <c r="E110" s="6"/>
      <c r="F110" s="6"/>
      <c r="G110" s="6"/>
    </row>
    <row r="111" spans="1:7" s="4" customFormat="1" ht="9.75" x14ac:dyDescent="0.2">
      <c r="A111" s="7" t="s">
        <v>13</v>
      </c>
      <c r="B111" s="7" t="s">
        <v>134</v>
      </c>
      <c r="C111" s="8">
        <v>-43800</v>
      </c>
      <c r="D111" s="8">
        <v>-51196</v>
      </c>
      <c r="E111" s="6"/>
      <c r="F111" s="6"/>
      <c r="G111" s="6"/>
    </row>
    <row r="112" spans="1:7" s="4" customFormat="1" ht="9.75" x14ac:dyDescent="0.2">
      <c r="A112" s="7" t="s">
        <v>15</v>
      </c>
      <c r="B112" s="7" t="s">
        <v>135</v>
      </c>
      <c r="C112" s="5" t="s">
        <v>10</v>
      </c>
      <c r="D112" s="8">
        <v>-6800</v>
      </c>
      <c r="E112" s="6"/>
      <c r="F112" s="6"/>
      <c r="G112" s="6"/>
    </row>
    <row r="113" spans="1:7" s="4" customFormat="1" ht="9.75" x14ac:dyDescent="0.2">
      <c r="A113" s="7" t="s">
        <v>17</v>
      </c>
      <c r="B113" s="7" t="s">
        <v>136</v>
      </c>
      <c r="C113" s="5" t="s">
        <v>10</v>
      </c>
      <c r="D113" s="8">
        <v>-163105</v>
      </c>
      <c r="E113" s="6"/>
      <c r="F113" s="6"/>
      <c r="G113" s="6"/>
    </row>
    <row r="114" spans="1:7" s="4" customFormat="1" ht="9.75" x14ac:dyDescent="0.2">
      <c r="A114" s="7" t="s">
        <v>19</v>
      </c>
      <c r="B114" s="7" t="s">
        <v>137</v>
      </c>
      <c r="C114" s="5" t="s">
        <v>10</v>
      </c>
      <c r="D114" s="9">
        <v>-550</v>
      </c>
      <c r="E114" s="6"/>
      <c r="F114" s="6"/>
      <c r="G114" s="6"/>
    </row>
    <row r="115" spans="1:7" s="4" customFormat="1" ht="9.75" x14ac:dyDescent="0.2">
      <c r="A115" s="7" t="s">
        <v>21</v>
      </c>
      <c r="B115" s="7" t="s">
        <v>138</v>
      </c>
      <c r="C115" s="5" t="s">
        <v>10</v>
      </c>
      <c r="D115" s="8">
        <v>-14500</v>
      </c>
      <c r="E115" s="6"/>
      <c r="F115" s="6"/>
      <c r="G115" s="6"/>
    </row>
    <row r="116" spans="1:7" s="4" customFormat="1" ht="9.75" x14ac:dyDescent="0.2">
      <c r="A116" s="7" t="s">
        <v>23</v>
      </c>
      <c r="B116" s="7" t="s">
        <v>139</v>
      </c>
      <c r="C116" s="5" t="s">
        <v>10</v>
      </c>
      <c r="D116" s="8">
        <v>-7000</v>
      </c>
      <c r="E116" s="6"/>
      <c r="F116" s="6"/>
      <c r="G116" s="6"/>
    </row>
    <row r="117" spans="1:7" s="4" customFormat="1" ht="9.75" x14ac:dyDescent="0.2">
      <c r="A117" s="7" t="s">
        <v>25</v>
      </c>
      <c r="B117" s="7" t="s">
        <v>140</v>
      </c>
      <c r="C117" s="5" t="s">
        <v>10</v>
      </c>
      <c r="D117" s="8">
        <v>-165200</v>
      </c>
      <c r="E117" s="6"/>
      <c r="F117" s="6"/>
      <c r="G117" s="6"/>
    </row>
    <row r="118" spans="1:7" s="4" customFormat="1" ht="9.75" x14ac:dyDescent="0.2">
      <c r="A118" s="7" t="s">
        <v>27</v>
      </c>
      <c r="B118" s="7" t="s">
        <v>141</v>
      </c>
      <c r="C118" s="5" t="s">
        <v>10</v>
      </c>
      <c r="D118" s="8">
        <v>-11600</v>
      </c>
      <c r="E118" s="6"/>
      <c r="F118" s="6"/>
      <c r="G118" s="6"/>
    </row>
    <row r="119" spans="1:7" s="4" customFormat="1" ht="9.75" x14ac:dyDescent="0.2">
      <c r="A119" s="7" t="s">
        <v>29</v>
      </c>
      <c r="B119" s="7" t="s">
        <v>142</v>
      </c>
      <c r="C119" s="5" t="s">
        <v>10</v>
      </c>
      <c r="D119" s="8">
        <v>-397994</v>
      </c>
      <c r="E119" s="6"/>
      <c r="F119" s="6"/>
      <c r="G119" s="6"/>
    </row>
    <row r="120" spans="1:7" s="4" customFormat="1" ht="9.75" x14ac:dyDescent="0.2">
      <c r="A120" s="7" t="s">
        <v>31</v>
      </c>
      <c r="B120" s="7" t="s">
        <v>143</v>
      </c>
      <c r="C120" s="5" t="s">
        <v>10</v>
      </c>
      <c r="D120" s="8">
        <v>-14500</v>
      </c>
      <c r="E120" s="6"/>
      <c r="F120" s="6"/>
      <c r="G120" s="6"/>
    </row>
    <row r="121" spans="1:7" s="4" customFormat="1" x14ac:dyDescent="0.2">
      <c r="A121" s="35" t="s">
        <v>144</v>
      </c>
      <c r="B121" s="36"/>
      <c r="C121" s="8">
        <v>-154942</v>
      </c>
      <c r="D121" s="8">
        <v>-943587</v>
      </c>
      <c r="E121" s="6"/>
      <c r="F121" s="6"/>
      <c r="G121" s="6"/>
    </row>
    <row r="122" spans="1:7" s="4" customFormat="1" x14ac:dyDescent="0.2">
      <c r="A122" s="35" t="s">
        <v>145</v>
      </c>
      <c r="B122" s="36"/>
      <c r="C122" s="5" t="s">
        <v>10</v>
      </c>
      <c r="D122" s="5" t="s">
        <v>10</v>
      </c>
      <c r="E122" s="6"/>
      <c r="F122" s="6"/>
      <c r="G122" s="6"/>
    </row>
    <row r="123" spans="1:7" s="4" customFormat="1" ht="9.75" x14ac:dyDescent="0.2">
      <c r="A123" s="7" t="s">
        <v>11</v>
      </c>
      <c r="B123" s="7" t="s">
        <v>146</v>
      </c>
      <c r="C123" s="8">
        <v>-154157</v>
      </c>
      <c r="D123" s="8">
        <v>-713218.5</v>
      </c>
      <c r="E123" s="6"/>
      <c r="F123" s="6"/>
      <c r="G123" s="6"/>
    </row>
    <row r="124" spans="1:7" s="4" customFormat="1" ht="9.75" x14ac:dyDescent="0.2">
      <c r="A124" s="7" t="s">
        <v>13</v>
      </c>
      <c r="B124" s="7" t="s">
        <v>147</v>
      </c>
      <c r="C124" s="5" t="s">
        <v>10</v>
      </c>
      <c r="D124" s="8">
        <v>-4516760</v>
      </c>
      <c r="E124" s="6"/>
      <c r="F124" s="6"/>
      <c r="G124" s="6"/>
    </row>
    <row r="125" spans="1:7" s="4" customFormat="1" x14ac:dyDescent="0.2">
      <c r="A125" s="35" t="s">
        <v>148</v>
      </c>
      <c r="B125" s="36"/>
      <c r="C125" s="8">
        <v>-154157</v>
      </c>
      <c r="D125" s="8">
        <v>-5229978.5</v>
      </c>
      <c r="E125" s="6"/>
      <c r="F125" s="6"/>
      <c r="G125" s="6"/>
    </row>
    <row r="126" spans="1:7" s="4" customFormat="1" x14ac:dyDescent="0.2">
      <c r="A126" s="35" t="s">
        <v>149</v>
      </c>
      <c r="B126" s="36"/>
      <c r="C126" s="5" t="s">
        <v>10</v>
      </c>
      <c r="D126" s="5" t="s">
        <v>10</v>
      </c>
      <c r="E126" s="6"/>
      <c r="F126" s="6"/>
      <c r="G126" s="6"/>
    </row>
    <row r="127" spans="1:7" s="4" customFormat="1" ht="9.75" x14ac:dyDescent="0.2">
      <c r="A127" s="7" t="s">
        <v>11</v>
      </c>
      <c r="B127" s="7" t="s">
        <v>150</v>
      </c>
      <c r="C127" s="8">
        <v>-968183</v>
      </c>
      <c r="D127" s="8">
        <v>-14322517</v>
      </c>
      <c r="E127" s="6"/>
      <c r="F127" s="6"/>
      <c r="G127" s="6"/>
    </row>
    <row r="128" spans="1:7" s="4" customFormat="1" ht="9.75" x14ac:dyDescent="0.2">
      <c r="A128" s="7" t="s">
        <v>13</v>
      </c>
      <c r="B128" s="7" t="s">
        <v>28</v>
      </c>
      <c r="C128" s="8">
        <v>-20240</v>
      </c>
      <c r="D128" s="8">
        <v>-665800</v>
      </c>
      <c r="E128" s="6"/>
      <c r="F128" s="6"/>
      <c r="G128" s="6"/>
    </row>
    <row r="129" spans="1:7" s="4" customFormat="1" x14ac:dyDescent="0.2">
      <c r="A129" s="35" t="s">
        <v>151</v>
      </c>
      <c r="B129" s="36"/>
      <c r="C129" s="8">
        <v>-988423</v>
      </c>
      <c r="D129" s="8">
        <v>-14988317</v>
      </c>
      <c r="E129" s="6"/>
      <c r="F129" s="6"/>
      <c r="G129" s="6"/>
    </row>
    <row r="130" spans="1:7" s="4" customFormat="1" x14ac:dyDescent="0.2">
      <c r="A130" s="35" t="s">
        <v>152</v>
      </c>
      <c r="B130" s="36"/>
      <c r="C130" s="5" t="s">
        <v>10</v>
      </c>
      <c r="D130" s="5" t="s">
        <v>10</v>
      </c>
      <c r="E130" s="6"/>
      <c r="F130" s="6"/>
      <c r="G130" s="6"/>
    </row>
    <row r="131" spans="1:7" s="4" customFormat="1" ht="9.75" x14ac:dyDescent="0.2">
      <c r="A131" s="7" t="s">
        <v>11</v>
      </c>
      <c r="B131" s="7" t="s">
        <v>153</v>
      </c>
      <c r="C131" s="8">
        <v>-349900</v>
      </c>
      <c r="D131" s="8">
        <v>-3708543</v>
      </c>
      <c r="E131" s="6"/>
      <c r="F131" s="6"/>
      <c r="G131" s="6"/>
    </row>
    <row r="132" spans="1:7" s="4" customFormat="1" ht="9.75" x14ac:dyDescent="0.2">
      <c r="A132" s="7" t="s">
        <v>13</v>
      </c>
      <c r="B132" s="7" t="s">
        <v>154</v>
      </c>
      <c r="C132" s="8">
        <v>-79238.720000000001</v>
      </c>
      <c r="D132" s="8">
        <v>-401556.49</v>
      </c>
      <c r="E132" s="6"/>
      <c r="F132" s="6"/>
      <c r="G132" s="6"/>
    </row>
    <row r="133" spans="1:7" s="4" customFormat="1" ht="9.75" x14ac:dyDescent="0.2">
      <c r="A133" s="7" t="s">
        <v>15</v>
      </c>
      <c r="B133" s="7" t="s">
        <v>155</v>
      </c>
      <c r="C133" s="8">
        <v>-50000</v>
      </c>
      <c r="D133" s="8">
        <v>-600000</v>
      </c>
      <c r="E133" s="6"/>
      <c r="F133" s="6"/>
      <c r="G133" s="6"/>
    </row>
    <row r="134" spans="1:7" s="4" customFormat="1" ht="9.75" x14ac:dyDescent="0.2">
      <c r="A134" s="7" t="s">
        <v>17</v>
      </c>
      <c r="B134" s="7" t="s">
        <v>156</v>
      </c>
      <c r="C134" s="8">
        <v>-49927</v>
      </c>
      <c r="D134" s="8">
        <v>-337725.51</v>
      </c>
      <c r="E134" s="6"/>
      <c r="F134" s="6"/>
      <c r="G134" s="6"/>
    </row>
    <row r="135" spans="1:7" s="4" customFormat="1" ht="9.75" x14ac:dyDescent="0.2">
      <c r="A135" s="7" t="s">
        <v>19</v>
      </c>
      <c r="B135" s="7" t="s">
        <v>157</v>
      </c>
      <c r="C135" s="8">
        <v>-44900</v>
      </c>
      <c r="D135" s="8">
        <v>-529038</v>
      </c>
      <c r="E135" s="6"/>
      <c r="F135" s="6"/>
      <c r="G135" s="6"/>
    </row>
    <row r="136" spans="1:7" s="4" customFormat="1" ht="9.75" x14ac:dyDescent="0.2">
      <c r="A136" s="7" t="s">
        <v>21</v>
      </c>
      <c r="B136" s="7" t="s">
        <v>158</v>
      </c>
      <c r="C136" s="8">
        <v>-41572</v>
      </c>
      <c r="D136" s="8">
        <v>-481739</v>
      </c>
      <c r="E136" s="6"/>
      <c r="F136" s="6"/>
      <c r="G136" s="6"/>
    </row>
    <row r="137" spans="1:7" s="4" customFormat="1" ht="9.75" x14ac:dyDescent="0.2">
      <c r="A137" s="7" t="s">
        <v>23</v>
      </c>
      <c r="B137" s="7" t="s">
        <v>159</v>
      </c>
      <c r="C137" s="8">
        <v>-35265</v>
      </c>
      <c r="D137" s="8">
        <v>-473440.37</v>
      </c>
      <c r="E137" s="6"/>
      <c r="F137" s="6"/>
      <c r="G137" s="6"/>
    </row>
    <row r="138" spans="1:7" s="4" customFormat="1" ht="9.75" x14ac:dyDescent="0.2">
      <c r="A138" s="7" t="s">
        <v>25</v>
      </c>
      <c r="B138" s="7" t="s">
        <v>160</v>
      </c>
      <c r="C138" s="8">
        <v>-35000</v>
      </c>
      <c r="D138" s="8">
        <v>-383684</v>
      </c>
      <c r="E138" s="6"/>
      <c r="F138" s="6"/>
      <c r="G138" s="6"/>
    </row>
    <row r="139" spans="1:7" s="4" customFormat="1" ht="9.75" x14ac:dyDescent="0.2">
      <c r="A139" s="7" t="s">
        <v>27</v>
      </c>
      <c r="B139" s="7" t="s">
        <v>161</v>
      </c>
      <c r="C139" s="8">
        <v>-26064</v>
      </c>
      <c r="D139" s="8">
        <v>-74421</v>
      </c>
      <c r="E139" s="6"/>
      <c r="F139" s="6"/>
      <c r="G139" s="6"/>
    </row>
    <row r="140" spans="1:7" s="4" customFormat="1" ht="9.75" x14ac:dyDescent="0.2">
      <c r="A140" s="7" t="s">
        <v>29</v>
      </c>
      <c r="B140" s="7" t="s">
        <v>162</v>
      </c>
      <c r="C140" s="8">
        <v>-20725</v>
      </c>
      <c r="D140" s="8">
        <v>-243085</v>
      </c>
      <c r="E140" s="6"/>
      <c r="F140" s="6"/>
      <c r="G140" s="6"/>
    </row>
    <row r="141" spans="1:7" s="4" customFormat="1" ht="9.75" x14ac:dyDescent="0.2">
      <c r="A141" s="7" t="s">
        <v>31</v>
      </c>
      <c r="B141" s="7" t="s">
        <v>163</v>
      </c>
      <c r="C141" s="8">
        <v>-20125</v>
      </c>
      <c r="D141" s="8">
        <v>-241802</v>
      </c>
      <c r="E141" s="6"/>
      <c r="F141" s="6"/>
      <c r="G141" s="6"/>
    </row>
    <row r="142" spans="1:7" s="4" customFormat="1" ht="9.75" x14ac:dyDescent="0.2">
      <c r="A142" s="7" t="s">
        <v>33</v>
      </c>
      <c r="B142" s="7" t="s">
        <v>164</v>
      </c>
      <c r="C142" s="8">
        <v>-8800</v>
      </c>
      <c r="D142" s="8">
        <v>-50230</v>
      </c>
      <c r="E142" s="6"/>
      <c r="F142" s="6"/>
      <c r="G142" s="6"/>
    </row>
    <row r="143" spans="1:7" s="4" customFormat="1" ht="9.75" x14ac:dyDescent="0.2">
      <c r="A143" s="7" t="s">
        <v>35</v>
      </c>
      <c r="B143" s="7" t="s">
        <v>165</v>
      </c>
      <c r="C143" s="8">
        <v>-8500</v>
      </c>
      <c r="D143" s="8">
        <v>-100903</v>
      </c>
      <c r="E143" s="6"/>
      <c r="F143" s="6"/>
      <c r="G143" s="6"/>
    </row>
    <row r="144" spans="1:7" s="4" customFormat="1" ht="9.75" x14ac:dyDescent="0.2">
      <c r="A144" s="7" t="s">
        <v>37</v>
      </c>
      <c r="B144" s="7" t="s">
        <v>166</v>
      </c>
      <c r="C144" s="8">
        <v>-6000</v>
      </c>
      <c r="D144" s="8">
        <v>-63000</v>
      </c>
      <c r="E144" s="6"/>
      <c r="F144" s="6"/>
      <c r="G144" s="6"/>
    </row>
    <row r="145" spans="1:7" s="4" customFormat="1" ht="9.75" x14ac:dyDescent="0.2">
      <c r="A145" s="7" t="s">
        <v>39</v>
      </c>
      <c r="B145" s="7" t="s">
        <v>167</v>
      </c>
      <c r="C145" s="5" t="s">
        <v>10</v>
      </c>
      <c r="D145" s="8">
        <v>-125063</v>
      </c>
      <c r="E145" s="6"/>
      <c r="F145" s="6"/>
      <c r="G145" s="6"/>
    </row>
    <row r="146" spans="1:7" s="4" customFormat="1" ht="9.75" x14ac:dyDescent="0.2">
      <c r="A146" s="7" t="s">
        <v>41</v>
      </c>
      <c r="B146" s="7" t="s">
        <v>168</v>
      </c>
      <c r="C146" s="5" t="s">
        <v>10</v>
      </c>
      <c r="D146" s="8">
        <v>-24000</v>
      </c>
      <c r="E146" s="6"/>
      <c r="F146" s="6"/>
      <c r="G146" s="6"/>
    </row>
    <row r="147" spans="1:7" s="4" customFormat="1" ht="9.75" x14ac:dyDescent="0.2">
      <c r="A147" s="7" t="s">
        <v>43</v>
      </c>
      <c r="B147" s="7" t="s">
        <v>169</v>
      </c>
      <c r="C147" s="5" t="s">
        <v>10</v>
      </c>
      <c r="D147" s="8">
        <v>-15000</v>
      </c>
      <c r="E147" s="6"/>
      <c r="F147" s="6"/>
      <c r="G147" s="6"/>
    </row>
    <row r="148" spans="1:7" s="4" customFormat="1" ht="18" x14ac:dyDescent="0.2">
      <c r="A148" s="7" t="s">
        <v>45</v>
      </c>
      <c r="B148" s="7" t="s">
        <v>170</v>
      </c>
      <c r="C148" s="5" t="s">
        <v>10</v>
      </c>
      <c r="D148" s="8">
        <v>-16943</v>
      </c>
      <c r="E148" s="6"/>
      <c r="F148" s="6"/>
      <c r="G148" s="6"/>
    </row>
    <row r="149" spans="1:7" s="4" customFormat="1" ht="9.75" x14ac:dyDescent="0.2">
      <c r="A149" s="7" t="s">
        <v>67</v>
      </c>
      <c r="B149" s="7" t="s">
        <v>171</v>
      </c>
      <c r="C149" s="5" t="s">
        <v>10</v>
      </c>
      <c r="D149" s="8">
        <v>-145764</v>
      </c>
      <c r="E149" s="6"/>
      <c r="F149" s="6"/>
      <c r="G149" s="6"/>
    </row>
    <row r="150" spans="1:7" s="4" customFormat="1" ht="9.75" x14ac:dyDescent="0.2">
      <c r="A150" s="7" t="s">
        <v>69</v>
      </c>
      <c r="B150" s="7" t="s">
        <v>172</v>
      </c>
      <c r="C150" s="5" t="s">
        <v>10</v>
      </c>
      <c r="D150" s="8">
        <v>-27000</v>
      </c>
      <c r="E150" s="6"/>
      <c r="F150" s="6"/>
      <c r="G150" s="6"/>
    </row>
    <row r="151" spans="1:7" s="4" customFormat="1" x14ac:dyDescent="0.2">
      <c r="A151" s="35" t="s">
        <v>173</v>
      </c>
      <c r="B151" s="36"/>
      <c r="C151" s="8">
        <v>-776016.72</v>
      </c>
      <c r="D151" s="8">
        <v>-8042937.3700000001</v>
      </c>
      <c r="E151" s="6"/>
      <c r="F151" s="6"/>
      <c r="G151" s="6"/>
    </row>
    <row r="152" spans="1:7" s="4" customFormat="1" x14ac:dyDescent="0.2">
      <c r="A152" s="35" t="s">
        <v>174</v>
      </c>
      <c r="B152" s="36"/>
      <c r="C152" s="5" t="s">
        <v>10</v>
      </c>
      <c r="D152" s="5" t="s">
        <v>10</v>
      </c>
      <c r="E152" s="6"/>
      <c r="F152" s="6"/>
      <c r="G152" s="6"/>
    </row>
    <row r="153" spans="1:7" s="4" customFormat="1" ht="9.75" x14ac:dyDescent="0.2">
      <c r="A153" s="7" t="s">
        <v>11</v>
      </c>
      <c r="B153" s="7" t="s">
        <v>175</v>
      </c>
      <c r="C153" s="8">
        <v>-3280</v>
      </c>
      <c r="D153" s="8">
        <v>-30132</v>
      </c>
      <c r="E153" s="6"/>
      <c r="F153" s="6"/>
      <c r="G153" s="6"/>
    </row>
    <row r="154" spans="1:7" s="4" customFormat="1" ht="9.75" x14ac:dyDescent="0.2">
      <c r="A154" s="7" t="s">
        <v>13</v>
      </c>
      <c r="B154" s="7" t="s">
        <v>176</v>
      </c>
      <c r="C154" s="8">
        <v>-2400</v>
      </c>
      <c r="D154" s="8">
        <v>-34178</v>
      </c>
      <c r="E154" s="6"/>
      <c r="F154" s="6"/>
      <c r="G154" s="6"/>
    </row>
    <row r="155" spans="1:7" s="4" customFormat="1" ht="9.75" x14ac:dyDescent="0.2">
      <c r="A155" s="7" t="s">
        <v>15</v>
      </c>
      <c r="B155" s="7" t="s">
        <v>177</v>
      </c>
      <c r="C155" s="5" t="s">
        <v>10</v>
      </c>
      <c r="D155" s="8">
        <v>-1500</v>
      </c>
      <c r="E155" s="6"/>
      <c r="F155" s="6"/>
      <c r="G155" s="6"/>
    </row>
    <row r="156" spans="1:7" s="4" customFormat="1" ht="9.75" x14ac:dyDescent="0.2">
      <c r="A156" s="7" t="s">
        <v>17</v>
      </c>
      <c r="B156" s="7" t="s">
        <v>178</v>
      </c>
      <c r="C156" s="5" t="s">
        <v>10</v>
      </c>
      <c r="D156" s="8">
        <v>-30000</v>
      </c>
      <c r="E156" s="6"/>
      <c r="F156" s="6"/>
      <c r="G156" s="6"/>
    </row>
    <row r="157" spans="1:7" s="4" customFormat="1" ht="9.75" x14ac:dyDescent="0.2">
      <c r="A157" s="7" t="s">
        <v>19</v>
      </c>
      <c r="B157" s="7" t="s">
        <v>179</v>
      </c>
      <c r="C157" s="5" t="s">
        <v>10</v>
      </c>
      <c r="D157" s="8">
        <v>-22800</v>
      </c>
      <c r="E157" s="6"/>
      <c r="F157" s="6"/>
      <c r="G157" s="6"/>
    </row>
    <row r="158" spans="1:7" s="4" customFormat="1" ht="9.75" x14ac:dyDescent="0.2">
      <c r="A158" s="7" t="s">
        <v>21</v>
      </c>
      <c r="B158" s="7" t="s">
        <v>180</v>
      </c>
      <c r="C158" s="5" t="s">
        <v>10</v>
      </c>
      <c r="D158" s="8">
        <v>-27720</v>
      </c>
      <c r="E158" s="6"/>
      <c r="F158" s="6"/>
      <c r="G158" s="6"/>
    </row>
    <row r="159" spans="1:7" s="4" customFormat="1" ht="9.75" x14ac:dyDescent="0.2">
      <c r="A159" s="7" t="s">
        <v>23</v>
      </c>
      <c r="B159" s="7" t="s">
        <v>181</v>
      </c>
      <c r="C159" s="5" t="s">
        <v>10</v>
      </c>
      <c r="D159" s="8">
        <v>-32640</v>
      </c>
      <c r="E159" s="6"/>
      <c r="F159" s="6"/>
      <c r="G159" s="6"/>
    </row>
    <row r="160" spans="1:7" s="4" customFormat="1" ht="9.75" x14ac:dyDescent="0.2">
      <c r="A160" s="7" t="s">
        <v>25</v>
      </c>
      <c r="B160" s="7" t="s">
        <v>182</v>
      </c>
      <c r="C160" s="5" t="s">
        <v>10</v>
      </c>
      <c r="D160" s="8">
        <v>-2700</v>
      </c>
      <c r="E160" s="6"/>
      <c r="F160" s="6"/>
      <c r="G160" s="6"/>
    </row>
    <row r="161" spans="1:7" s="4" customFormat="1" ht="9.75" x14ac:dyDescent="0.2">
      <c r="A161" s="7" t="s">
        <v>27</v>
      </c>
      <c r="B161" s="7" t="s">
        <v>183</v>
      </c>
      <c r="C161" s="5" t="s">
        <v>10</v>
      </c>
      <c r="D161" s="8">
        <v>-13800</v>
      </c>
      <c r="E161" s="6"/>
      <c r="F161" s="6"/>
      <c r="G161" s="6"/>
    </row>
    <row r="162" spans="1:7" s="4" customFormat="1" ht="9.75" x14ac:dyDescent="0.2">
      <c r="A162" s="7" t="s">
        <v>29</v>
      </c>
      <c r="B162" s="7" t="s">
        <v>184</v>
      </c>
      <c r="C162" s="5" t="s">
        <v>10</v>
      </c>
      <c r="D162" s="8">
        <v>-14983</v>
      </c>
      <c r="E162" s="6"/>
      <c r="F162" s="6"/>
      <c r="G162" s="6"/>
    </row>
    <row r="163" spans="1:7" s="4" customFormat="1" x14ac:dyDescent="0.2">
      <c r="A163" s="35" t="s">
        <v>185</v>
      </c>
      <c r="B163" s="36"/>
      <c r="C163" s="8">
        <v>-5680</v>
      </c>
      <c r="D163" s="8">
        <v>-210453</v>
      </c>
      <c r="E163" s="6"/>
      <c r="F163" s="6"/>
      <c r="G163" s="6"/>
    </row>
    <row r="164" spans="1:7" s="4" customFormat="1" x14ac:dyDescent="0.2">
      <c r="A164" s="35" t="s">
        <v>186</v>
      </c>
      <c r="B164" s="36"/>
      <c r="C164" s="5" t="s">
        <v>10</v>
      </c>
      <c r="D164" s="5" t="s">
        <v>10</v>
      </c>
      <c r="E164" s="6"/>
      <c r="F164" s="6"/>
      <c r="G164" s="6"/>
    </row>
    <row r="165" spans="1:7" s="4" customFormat="1" ht="9.75" x14ac:dyDescent="0.2">
      <c r="A165" s="7" t="s">
        <v>11</v>
      </c>
      <c r="B165" s="7" t="s">
        <v>187</v>
      </c>
      <c r="C165" s="5" t="s">
        <v>10</v>
      </c>
      <c r="D165" s="8">
        <v>-50000</v>
      </c>
      <c r="E165" s="6"/>
      <c r="F165" s="6"/>
      <c r="G165" s="6"/>
    </row>
    <row r="166" spans="1:7" s="4" customFormat="1" ht="9.75" x14ac:dyDescent="0.2">
      <c r="A166" s="7" t="s">
        <v>13</v>
      </c>
      <c r="B166" s="7" t="s">
        <v>188</v>
      </c>
      <c r="C166" s="5" t="s">
        <v>10</v>
      </c>
      <c r="D166" s="8">
        <v>-66880</v>
      </c>
      <c r="E166" s="6"/>
      <c r="F166" s="6"/>
      <c r="G166" s="6"/>
    </row>
    <row r="167" spans="1:7" s="4" customFormat="1" x14ac:dyDescent="0.2">
      <c r="A167" s="35" t="s">
        <v>189</v>
      </c>
      <c r="B167" s="36"/>
      <c r="C167" s="5" t="s">
        <v>10</v>
      </c>
      <c r="D167" s="8">
        <v>-116880</v>
      </c>
      <c r="E167" s="6"/>
      <c r="F167" s="6"/>
      <c r="G167" s="6"/>
    </row>
    <row r="168" spans="1:7" s="4" customFormat="1" x14ac:dyDescent="0.2">
      <c r="A168" s="35" t="s">
        <v>190</v>
      </c>
      <c r="B168" s="36"/>
      <c r="C168" s="5" t="s">
        <v>10</v>
      </c>
      <c r="D168" s="5" t="s">
        <v>10</v>
      </c>
      <c r="E168" s="6"/>
      <c r="F168" s="6"/>
      <c r="G168" s="6"/>
    </row>
    <row r="169" spans="1:7" s="4" customFormat="1" ht="9.75" x14ac:dyDescent="0.2">
      <c r="A169" s="7" t="s">
        <v>11</v>
      </c>
      <c r="B169" s="7" t="s">
        <v>191</v>
      </c>
      <c r="C169" s="8">
        <v>-215134</v>
      </c>
      <c r="D169" s="8">
        <v>-215134</v>
      </c>
      <c r="E169" s="6"/>
      <c r="F169" s="6"/>
      <c r="G169" s="6"/>
    </row>
    <row r="170" spans="1:7" s="4" customFormat="1" ht="9.75" x14ac:dyDescent="0.2">
      <c r="A170" s="7" t="s">
        <v>13</v>
      </c>
      <c r="B170" s="7" t="s">
        <v>192</v>
      </c>
      <c r="C170" s="8">
        <v>-52025</v>
      </c>
      <c r="D170" s="8">
        <v>-305565.23</v>
      </c>
      <c r="E170" s="6"/>
      <c r="F170" s="6"/>
      <c r="G170" s="6"/>
    </row>
    <row r="171" spans="1:7" s="4" customFormat="1" ht="9.75" x14ac:dyDescent="0.2">
      <c r="A171" s="7" t="s">
        <v>15</v>
      </c>
      <c r="B171" s="7" t="s">
        <v>193</v>
      </c>
      <c r="C171" s="8">
        <v>-41804.49</v>
      </c>
      <c r="D171" s="8">
        <v>-593084.65</v>
      </c>
      <c r="E171" s="6"/>
      <c r="F171" s="6"/>
      <c r="G171" s="6"/>
    </row>
    <row r="172" spans="1:7" s="4" customFormat="1" ht="18" x14ac:dyDescent="0.2">
      <c r="A172" s="7" t="s">
        <v>17</v>
      </c>
      <c r="B172" s="7" t="s">
        <v>194</v>
      </c>
      <c r="C172" s="8">
        <v>-32960</v>
      </c>
      <c r="D172" s="8">
        <v>-547634</v>
      </c>
      <c r="E172" s="6"/>
      <c r="F172" s="6"/>
      <c r="G172" s="6"/>
    </row>
    <row r="173" spans="1:7" s="4" customFormat="1" ht="9.75" x14ac:dyDescent="0.2">
      <c r="A173" s="7" t="s">
        <v>19</v>
      </c>
      <c r="B173" s="7" t="s">
        <v>195</v>
      </c>
      <c r="C173" s="9">
        <v>-491.93</v>
      </c>
      <c r="D173" s="8">
        <v>-19465.93</v>
      </c>
      <c r="E173" s="6"/>
      <c r="F173" s="6"/>
      <c r="G173" s="6"/>
    </row>
    <row r="174" spans="1:7" s="4" customFormat="1" ht="18" x14ac:dyDescent="0.2">
      <c r="A174" s="7" t="s">
        <v>21</v>
      </c>
      <c r="B174" s="7" t="s">
        <v>196</v>
      </c>
      <c r="C174" s="9">
        <v>-230</v>
      </c>
      <c r="D174" s="8">
        <v>-8120</v>
      </c>
      <c r="E174" s="6"/>
      <c r="F174" s="6"/>
      <c r="G174" s="6"/>
    </row>
    <row r="175" spans="1:7" s="4" customFormat="1" ht="9.75" x14ac:dyDescent="0.2">
      <c r="A175" s="7" t="s">
        <v>23</v>
      </c>
      <c r="B175" s="7" t="s">
        <v>197</v>
      </c>
      <c r="C175" s="5" t="s">
        <v>10</v>
      </c>
      <c r="D175" s="8">
        <v>-489582.08000000002</v>
      </c>
      <c r="E175" s="6"/>
      <c r="F175" s="6"/>
      <c r="G175" s="6"/>
    </row>
    <row r="176" spans="1:7" s="4" customFormat="1" ht="9.75" x14ac:dyDescent="0.2">
      <c r="A176" s="7" t="s">
        <v>25</v>
      </c>
      <c r="B176" s="7" t="s">
        <v>198</v>
      </c>
      <c r="C176" s="5" t="s">
        <v>10</v>
      </c>
      <c r="D176" s="8">
        <v>-74663.899999999994</v>
      </c>
      <c r="E176" s="6"/>
      <c r="F176" s="6"/>
      <c r="G176" s="6"/>
    </row>
    <row r="177" spans="1:7" s="4" customFormat="1" x14ac:dyDescent="0.2">
      <c r="A177" s="35" t="s">
        <v>199</v>
      </c>
      <c r="B177" s="36"/>
      <c r="C177" s="8">
        <v>-342645.42</v>
      </c>
      <c r="D177" s="8">
        <v>-2253249.79</v>
      </c>
      <c r="E177" s="6"/>
      <c r="F177" s="6"/>
      <c r="G177" s="6"/>
    </row>
    <row r="178" spans="1:7" s="4" customFormat="1" x14ac:dyDescent="0.2">
      <c r="A178" s="35" t="s">
        <v>200</v>
      </c>
      <c r="B178" s="36"/>
      <c r="C178" s="5" t="s">
        <v>10</v>
      </c>
      <c r="D178" s="5" t="s">
        <v>10</v>
      </c>
      <c r="E178" s="6"/>
      <c r="F178" s="6"/>
      <c r="G178" s="6"/>
    </row>
    <row r="179" spans="1:7" s="4" customFormat="1" ht="9.75" x14ac:dyDescent="0.2">
      <c r="A179" s="7" t="s">
        <v>11</v>
      </c>
      <c r="B179" s="7" t="s">
        <v>201</v>
      </c>
      <c r="C179" s="8">
        <v>-25329.599999999999</v>
      </c>
      <c r="D179" s="8">
        <v>-326398.96000000002</v>
      </c>
      <c r="E179" s="6"/>
      <c r="F179" s="6"/>
      <c r="G179" s="6"/>
    </row>
    <row r="180" spans="1:7" s="4" customFormat="1" ht="9.75" x14ac:dyDescent="0.2">
      <c r="A180" s="7" t="s">
        <v>13</v>
      </c>
      <c r="B180" s="7" t="s">
        <v>202</v>
      </c>
      <c r="C180" s="8">
        <v>-15000</v>
      </c>
      <c r="D180" s="8">
        <v>-180000</v>
      </c>
      <c r="E180" s="6"/>
      <c r="F180" s="6"/>
      <c r="G180" s="6"/>
    </row>
    <row r="181" spans="1:7" s="4" customFormat="1" ht="9.75" x14ac:dyDescent="0.2">
      <c r="A181" s="7" t="s">
        <v>15</v>
      </c>
      <c r="B181" s="7" t="s">
        <v>203</v>
      </c>
      <c r="C181" s="8">
        <v>-15000</v>
      </c>
      <c r="D181" s="8">
        <v>-240230</v>
      </c>
      <c r="E181" s="6"/>
      <c r="F181" s="6"/>
      <c r="G181" s="6"/>
    </row>
    <row r="182" spans="1:7" s="4" customFormat="1" ht="9.75" x14ac:dyDescent="0.2">
      <c r="A182" s="7" t="s">
        <v>17</v>
      </c>
      <c r="B182" s="7" t="s">
        <v>204</v>
      </c>
      <c r="C182" s="8">
        <v>-15000</v>
      </c>
      <c r="D182" s="8">
        <v>-54846</v>
      </c>
      <c r="E182" s="6"/>
      <c r="F182" s="6"/>
      <c r="G182" s="6"/>
    </row>
    <row r="183" spans="1:7" s="4" customFormat="1" ht="9.75" x14ac:dyDescent="0.2">
      <c r="A183" s="7" t="s">
        <v>19</v>
      </c>
      <c r="B183" s="7" t="s">
        <v>205</v>
      </c>
      <c r="C183" s="8">
        <v>-14000</v>
      </c>
      <c r="D183" s="8">
        <v>-14500</v>
      </c>
      <c r="E183" s="6"/>
      <c r="F183" s="6"/>
      <c r="G183" s="6"/>
    </row>
    <row r="184" spans="1:7" s="4" customFormat="1" ht="9.75" x14ac:dyDescent="0.2">
      <c r="A184" s="7" t="s">
        <v>21</v>
      </c>
      <c r="B184" s="7" t="s">
        <v>206</v>
      </c>
      <c r="C184" s="8">
        <v>-8606</v>
      </c>
      <c r="D184" s="8">
        <v>-84291</v>
      </c>
      <c r="E184" s="6"/>
      <c r="F184" s="6"/>
      <c r="G184" s="6"/>
    </row>
    <row r="185" spans="1:7" s="4" customFormat="1" ht="9.75" x14ac:dyDescent="0.2">
      <c r="A185" s="7" t="s">
        <v>23</v>
      </c>
      <c r="B185" s="7" t="s">
        <v>207</v>
      </c>
      <c r="C185" s="8">
        <v>-7975</v>
      </c>
      <c r="D185" s="8">
        <v>-7975</v>
      </c>
      <c r="E185" s="6"/>
      <c r="F185" s="6"/>
      <c r="G185" s="6"/>
    </row>
    <row r="186" spans="1:7" s="4" customFormat="1" ht="9.75" x14ac:dyDescent="0.2">
      <c r="A186" s="7" t="s">
        <v>25</v>
      </c>
      <c r="B186" s="7" t="s">
        <v>208</v>
      </c>
      <c r="C186" s="8">
        <v>-6615</v>
      </c>
      <c r="D186" s="8">
        <v>-48895</v>
      </c>
      <c r="E186" s="6"/>
      <c r="F186" s="6"/>
      <c r="G186" s="6"/>
    </row>
    <row r="187" spans="1:7" s="4" customFormat="1" ht="9.75" x14ac:dyDescent="0.2">
      <c r="A187" s="7" t="s">
        <v>27</v>
      </c>
      <c r="B187" s="7" t="s">
        <v>209</v>
      </c>
      <c r="C187" s="8">
        <v>-6445.14</v>
      </c>
      <c r="D187" s="8">
        <v>-71944.75</v>
      </c>
      <c r="E187" s="6"/>
      <c r="F187" s="6"/>
      <c r="G187" s="6"/>
    </row>
    <row r="188" spans="1:7" s="4" customFormat="1" ht="18" x14ac:dyDescent="0.2">
      <c r="A188" s="7" t="s">
        <v>29</v>
      </c>
      <c r="B188" s="7" t="s">
        <v>210</v>
      </c>
      <c r="C188" s="8">
        <v>-5250</v>
      </c>
      <c r="D188" s="8">
        <v>-22628.04</v>
      </c>
      <c r="E188" s="6"/>
      <c r="F188" s="6"/>
      <c r="G188" s="6"/>
    </row>
    <row r="189" spans="1:7" s="4" customFormat="1" ht="9.75" x14ac:dyDescent="0.2">
      <c r="A189" s="7" t="s">
        <v>31</v>
      </c>
      <c r="B189" s="7" t="s">
        <v>211</v>
      </c>
      <c r="C189" s="8">
        <v>-4956</v>
      </c>
      <c r="D189" s="8">
        <v>-154684.25</v>
      </c>
      <c r="E189" s="6"/>
      <c r="F189" s="6"/>
      <c r="G189" s="6"/>
    </row>
    <row r="190" spans="1:7" s="4" customFormat="1" ht="9.75" x14ac:dyDescent="0.2">
      <c r="A190" s="7" t="s">
        <v>33</v>
      </c>
      <c r="B190" s="7" t="s">
        <v>212</v>
      </c>
      <c r="C190" s="8">
        <v>-4000</v>
      </c>
      <c r="D190" s="8">
        <v>-48000</v>
      </c>
      <c r="E190" s="6"/>
      <c r="F190" s="6"/>
      <c r="G190" s="6"/>
    </row>
    <row r="191" spans="1:7" s="4" customFormat="1" ht="9.75" x14ac:dyDescent="0.2">
      <c r="A191" s="7" t="s">
        <v>35</v>
      </c>
      <c r="B191" s="7" t="s">
        <v>213</v>
      </c>
      <c r="C191" s="8">
        <v>-3974</v>
      </c>
      <c r="D191" s="8">
        <v>-50962</v>
      </c>
      <c r="E191" s="6"/>
      <c r="F191" s="6"/>
      <c r="G191" s="6"/>
    </row>
    <row r="192" spans="1:7" s="4" customFormat="1" ht="9.75" x14ac:dyDescent="0.2">
      <c r="A192" s="7" t="s">
        <v>37</v>
      </c>
      <c r="B192" s="7" t="s">
        <v>214</v>
      </c>
      <c r="C192" s="8">
        <v>-3800</v>
      </c>
      <c r="D192" s="8">
        <v>-30800</v>
      </c>
      <c r="E192" s="6"/>
      <c r="F192" s="6"/>
      <c r="G192" s="6"/>
    </row>
    <row r="193" spans="1:7" s="4" customFormat="1" ht="9.75" x14ac:dyDescent="0.2">
      <c r="A193" s="7" t="s">
        <v>39</v>
      </c>
      <c r="B193" s="7" t="s">
        <v>215</v>
      </c>
      <c r="C193" s="8">
        <v>-3489</v>
      </c>
      <c r="D193" s="8">
        <v>-60639.3</v>
      </c>
      <c r="E193" s="6"/>
      <c r="F193" s="6"/>
      <c r="G193" s="6"/>
    </row>
    <row r="194" spans="1:7" s="4" customFormat="1" ht="9.75" x14ac:dyDescent="0.2">
      <c r="A194" s="7" t="s">
        <v>41</v>
      </c>
      <c r="B194" s="7" t="s">
        <v>216</v>
      </c>
      <c r="C194" s="8">
        <v>-3250</v>
      </c>
      <c r="D194" s="8">
        <v>-31563</v>
      </c>
      <c r="E194" s="6"/>
      <c r="F194" s="6"/>
      <c r="G194" s="6"/>
    </row>
    <row r="195" spans="1:7" s="4" customFormat="1" ht="9.75" x14ac:dyDescent="0.2">
      <c r="A195" s="7" t="s">
        <v>43</v>
      </c>
      <c r="B195" s="7" t="s">
        <v>217</v>
      </c>
      <c r="C195" s="8">
        <v>-3135.85</v>
      </c>
      <c r="D195" s="8">
        <v>-23455.85</v>
      </c>
      <c r="E195" s="6"/>
      <c r="F195" s="6"/>
      <c r="G195" s="6"/>
    </row>
    <row r="196" spans="1:7" s="4" customFormat="1" ht="9.75" x14ac:dyDescent="0.2">
      <c r="A196" s="7" t="s">
        <v>45</v>
      </c>
      <c r="B196" s="7" t="s">
        <v>218</v>
      </c>
      <c r="C196" s="8">
        <v>-2700</v>
      </c>
      <c r="D196" s="8">
        <v>-8600</v>
      </c>
      <c r="E196" s="6"/>
      <c r="F196" s="6"/>
      <c r="G196" s="6"/>
    </row>
    <row r="197" spans="1:7" s="4" customFormat="1" ht="9.75" x14ac:dyDescent="0.2">
      <c r="A197" s="7" t="s">
        <v>67</v>
      </c>
      <c r="B197" s="7" t="s">
        <v>219</v>
      </c>
      <c r="C197" s="8">
        <v>-2305</v>
      </c>
      <c r="D197" s="8">
        <v>-30855</v>
      </c>
      <c r="E197" s="6"/>
      <c r="F197" s="6"/>
      <c r="G197" s="6"/>
    </row>
    <row r="198" spans="1:7" s="4" customFormat="1" ht="9.75" x14ac:dyDescent="0.2">
      <c r="A198" s="7" t="s">
        <v>69</v>
      </c>
      <c r="B198" s="7" t="s">
        <v>220</v>
      </c>
      <c r="C198" s="8">
        <v>-1739</v>
      </c>
      <c r="D198" s="8">
        <v>-2026</v>
      </c>
      <c r="E198" s="6"/>
      <c r="F198" s="6"/>
      <c r="G198" s="6"/>
    </row>
    <row r="199" spans="1:7" s="4" customFormat="1" ht="9.75" x14ac:dyDescent="0.2">
      <c r="A199" s="7" t="s">
        <v>221</v>
      </c>
      <c r="B199" s="7" t="s">
        <v>222</v>
      </c>
      <c r="C199" s="8">
        <v>-1595</v>
      </c>
      <c r="D199" s="8">
        <v>-15302.5</v>
      </c>
      <c r="E199" s="6"/>
      <c r="F199" s="6"/>
      <c r="G199" s="6"/>
    </row>
    <row r="200" spans="1:7" s="4" customFormat="1" ht="9.75" x14ac:dyDescent="0.2">
      <c r="A200" s="7" t="s">
        <v>223</v>
      </c>
      <c r="B200" s="7" t="s">
        <v>224</v>
      </c>
      <c r="C200" s="8">
        <v>-1470</v>
      </c>
      <c r="D200" s="8">
        <v>-8939</v>
      </c>
      <c r="E200" s="6"/>
      <c r="F200" s="6"/>
      <c r="G200" s="6"/>
    </row>
    <row r="201" spans="1:7" s="4" customFormat="1" ht="9.75" x14ac:dyDescent="0.2">
      <c r="A201" s="7" t="s">
        <v>225</v>
      </c>
      <c r="B201" s="7" t="s">
        <v>226</v>
      </c>
      <c r="C201" s="8">
        <v>-1271</v>
      </c>
      <c r="D201" s="8">
        <v>-29155.07</v>
      </c>
      <c r="E201" s="6"/>
      <c r="F201" s="6"/>
      <c r="G201" s="6"/>
    </row>
    <row r="202" spans="1:7" s="4" customFormat="1" ht="9.75" x14ac:dyDescent="0.2">
      <c r="A202" s="7" t="s">
        <v>227</v>
      </c>
      <c r="B202" s="7" t="s">
        <v>228</v>
      </c>
      <c r="C202" s="9">
        <v>-525</v>
      </c>
      <c r="D202" s="8">
        <v>-2149</v>
      </c>
      <c r="E202" s="6"/>
      <c r="F202" s="6"/>
      <c r="G202" s="6"/>
    </row>
    <row r="203" spans="1:7" s="4" customFormat="1" ht="9.75" x14ac:dyDescent="0.2">
      <c r="A203" s="7" t="s">
        <v>229</v>
      </c>
      <c r="B203" s="7" t="s">
        <v>230</v>
      </c>
      <c r="C203" s="9">
        <v>-500</v>
      </c>
      <c r="D203" s="9">
        <v>-500</v>
      </c>
      <c r="E203" s="6"/>
      <c r="F203" s="6"/>
      <c r="G203" s="6"/>
    </row>
    <row r="204" spans="1:7" s="4" customFormat="1" ht="9.75" x14ac:dyDescent="0.2">
      <c r="A204" s="7" t="s">
        <v>231</v>
      </c>
      <c r="B204" s="7" t="s">
        <v>232</v>
      </c>
      <c r="C204" s="5" t="s">
        <v>10</v>
      </c>
      <c r="D204" s="8">
        <v>-3300</v>
      </c>
      <c r="E204" s="6"/>
      <c r="F204" s="6"/>
      <c r="G204" s="6"/>
    </row>
    <row r="205" spans="1:7" s="4" customFormat="1" ht="9.75" x14ac:dyDescent="0.2">
      <c r="A205" s="7" t="s">
        <v>233</v>
      </c>
      <c r="B205" s="7" t="s">
        <v>234</v>
      </c>
      <c r="C205" s="5" t="s">
        <v>10</v>
      </c>
      <c r="D205" s="8">
        <v>-1998</v>
      </c>
      <c r="E205" s="6"/>
      <c r="F205" s="6"/>
      <c r="G205" s="6"/>
    </row>
    <row r="206" spans="1:7" s="4" customFormat="1" ht="9.75" x14ac:dyDescent="0.2">
      <c r="A206" s="7" t="s">
        <v>235</v>
      </c>
      <c r="B206" s="7" t="s">
        <v>236</v>
      </c>
      <c r="C206" s="5" t="s">
        <v>10</v>
      </c>
      <c r="D206" s="8">
        <v>-2400</v>
      </c>
      <c r="E206" s="6"/>
      <c r="F206" s="6"/>
      <c r="G206" s="6"/>
    </row>
    <row r="207" spans="1:7" s="4" customFormat="1" ht="9.75" x14ac:dyDescent="0.2">
      <c r="A207" s="7" t="s">
        <v>237</v>
      </c>
      <c r="B207" s="7" t="s">
        <v>238</v>
      </c>
      <c r="C207" s="5" t="s">
        <v>10</v>
      </c>
      <c r="D207" s="8">
        <v>-167913</v>
      </c>
      <c r="E207" s="6"/>
      <c r="F207" s="6"/>
      <c r="G207" s="6"/>
    </row>
    <row r="208" spans="1:7" s="4" customFormat="1" ht="9.75" x14ac:dyDescent="0.2">
      <c r="A208" s="7" t="s">
        <v>239</v>
      </c>
      <c r="B208" s="7" t="s">
        <v>240</v>
      </c>
      <c r="C208" s="5" t="s">
        <v>10</v>
      </c>
      <c r="D208" s="8">
        <v>-2560</v>
      </c>
      <c r="E208" s="6"/>
      <c r="F208" s="6"/>
      <c r="G208" s="6"/>
    </row>
    <row r="209" spans="1:7" s="4" customFormat="1" ht="9.75" x14ac:dyDescent="0.2">
      <c r="A209" s="7" t="s">
        <v>241</v>
      </c>
      <c r="B209" s="7" t="s">
        <v>242</v>
      </c>
      <c r="C209" s="5" t="s">
        <v>10</v>
      </c>
      <c r="D209" s="8">
        <v>-3024</v>
      </c>
      <c r="E209" s="6"/>
      <c r="F209" s="6"/>
      <c r="G209" s="6"/>
    </row>
    <row r="210" spans="1:7" s="4" customFormat="1" ht="9.75" x14ac:dyDescent="0.2">
      <c r="A210" s="7" t="s">
        <v>243</v>
      </c>
      <c r="B210" s="7" t="s">
        <v>244</v>
      </c>
      <c r="C210" s="5" t="s">
        <v>10</v>
      </c>
      <c r="D210" s="8">
        <v>-4909</v>
      </c>
      <c r="E210" s="6"/>
      <c r="F210" s="6"/>
      <c r="G210" s="6"/>
    </row>
    <row r="211" spans="1:7" s="4" customFormat="1" ht="9.75" x14ac:dyDescent="0.2">
      <c r="A211" s="7" t="s">
        <v>245</v>
      </c>
      <c r="B211" s="7" t="s">
        <v>246</v>
      </c>
      <c r="C211" s="5" t="s">
        <v>10</v>
      </c>
      <c r="D211" s="8">
        <v>-21000</v>
      </c>
      <c r="E211" s="6"/>
      <c r="F211" s="6"/>
      <c r="G211" s="6"/>
    </row>
    <row r="212" spans="1:7" s="4" customFormat="1" ht="9.75" x14ac:dyDescent="0.2">
      <c r="A212" s="7" t="s">
        <v>247</v>
      </c>
      <c r="B212" s="7" t="s">
        <v>248</v>
      </c>
      <c r="C212" s="5" t="s">
        <v>10</v>
      </c>
      <c r="D212" s="8">
        <v>-45887</v>
      </c>
      <c r="E212" s="6"/>
      <c r="F212" s="6"/>
      <c r="G212" s="6"/>
    </row>
    <row r="213" spans="1:7" s="4" customFormat="1" ht="9.75" x14ac:dyDescent="0.2">
      <c r="A213" s="7" t="s">
        <v>249</v>
      </c>
      <c r="B213" s="7" t="s">
        <v>250</v>
      </c>
      <c r="C213" s="5" t="s">
        <v>10</v>
      </c>
      <c r="D213" s="8">
        <v>-3925.56</v>
      </c>
      <c r="E213" s="6"/>
      <c r="F213" s="6"/>
      <c r="G213" s="6"/>
    </row>
    <row r="214" spans="1:7" s="4" customFormat="1" x14ac:dyDescent="0.2">
      <c r="A214" s="35" t="s">
        <v>251</v>
      </c>
      <c r="B214" s="36"/>
      <c r="C214" s="8">
        <v>-157930.59</v>
      </c>
      <c r="D214" s="8">
        <v>-1806256.28</v>
      </c>
      <c r="E214" s="6"/>
      <c r="F214" s="6"/>
      <c r="G214" s="6"/>
    </row>
    <row r="215" spans="1:7" s="4" customFormat="1" x14ac:dyDescent="0.2">
      <c r="A215" s="35" t="s">
        <v>252</v>
      </c>
      <c r="B215" s="36"/>
      <c r="C215" s="5" t="s">
        <v>10</v>
      </c>
      <c r="D215" s="5" t="s">
        <v>10</v>
      </c>
      <c r="E215" s="6"/>
      <c r="F215" s="6"/>
      <c r="G215" s="6"/>
    </row>
    <row r="216" spans="1:7" s="4" customFormat="1" ht="9.75" x14ac:dyDescent="0.2">
      <c r="A216" s="7" t="s">
        <v>11</v>
      </c>
      <c r="B216" s="7" t="s">
        <v>253</v>
      </c>
      <c r="C216" s="8">
        <v>-1000</v>
      </c>
      <c r="D216" s="8">
        <v>-191000</v>
      </c>
      <c r="E216" s="6"/>
      <c r="F216" s="6"/>
      <c r="G216" s="6"/>
    </row>
    <row r="217" spans="1:7" s="4" customFormat="1" ht="9.75" x14ac:dyDescent="0.2">
      <c r="A217" s="7" t="s">
        <v>13</v>
      </c>
      <c r="B217" s="7" t="s">
        <v>254</v>
      </c>
      <c r="C217" s="5" t="s">
        <v>10</v>
      </c>
      <c r="D217" s="8">
        <v>-401023.38</v>
      </c>
      <c r="E217" s="6"/>
      <c r="F217" s="6"/>
      <c r="G217" s="6"/>
    </row>
    <row r="218" spans="1:7" s="4" customFormat="1" ht="9.75" x14ac:dyDescent="0.2">
      <c r="A218" s="7" t="s">
        <v>15</v>
      </c>
      <c r="B218" s="7" t="s">
        <v>255</v>
      </c>
      <c r="C218" s="5" t="s">
        <v>10</v>
      </c>
      <c r="D218" s="8">
        <v>-13900</v>
      </c>
      <c r="E218" s="6"/>
      <c r="F218" s="6"/>
      <c r="G218" s="6"/>
    </row>
    <row r="219" spans="1:7" s="4" customFormat="1" ht="9.75" x14ac:dyDescent="0.2">
      <c r="A219" s="7" t="s">
        <v>17</v>
      </c>
      <c r="B219" s="7" t="s">
        <v>256</v>
      </c>
      <c r="C219" s="5" t="s">
        <v>10</v>
      </c>
      <c r="D219" s="8">
        <v>-2072.94</v>
      </c>
      <c r="E219" s="6"/>
      <c r="F219" s="6"/>
      <c r="G219" s="6"/>
    </row>
    <row r="220" spans="1:7" s="4" customFormat="1" ht="9.75" x14ac:dyDescent="0.2">
      <c r="A220" s="7" t="s">
        <v>19</v>
      </c>
      <c r="B220" s="7" t="s">
        <v>257</v>
      </c>
      <c r="C220" s="5" t="s">
        <v>10</v>
      </c>
      <c r="D220" s="8">
        <v>-3541163.09</v>
      </c>
      <c r="E220" s="6"/>
      <c r="F220" s="6"/>
      <c r="G220" s="6"/>
    </row>
    <row r="221" spans="1:7" s="4" customFormat="1" x14ac:dyDescent="0.2">
      <c r="A221" s="35" t="s">
        <v>258</v>
      </c>
      <c r="B221" s="36"/>
      <c r="C221" s="8">
        <v>-1000</v>
      </c>
      <c r="D221" s="8">
        <v>-4149159.41</v>
      </c>
      <c r="E221" s="6"/>
      <c r="F221" s="6"/>
      <c r="G221" s="6"/>
    </row>
    <row r="222" spans="1:7" s="4" customFormat="1" x14ac:dyDescent="0.2">
      <c r="A222" s="35" t="s">
        <v>259</v>
      </c>
      <c r="B222" s="36"/>
      <c r="C222" s="5" t="s">
        <v>10</v>
      </c>
      <c r="D222" s="5" t="s">
        <v>10</v>
      </c>
      <c r="E222" s="6"/>
      <c r="F222" s="6"/>
      <c r="G222" s="6"/>
    </row>
    <row r="223" spans="1:7" s="4" customFormat="1" ht="9.75" x14ac:dyDescent="0.2">
      <c r="A223" s="7" t="s">
        <v>11</v>
      </c>
      <c r="B223" s="7" t="s">
        <v>260</v>
      </c>
      <c r="C223" s="8">
        <v>-16000</v>
      </c>
      <c r="D223" s="8">
        <v>-225800</v>
      </c>
      <c r="E223" s="6"/>
      <c r="F223" s="6"/>
      <c r="G223" s="6"/>
    </row>
    <row r="224" spans="1:7" s="4" customFormat="1" ht="9.75" x14ac:dyDescent="0.2">
      <c r="A224" s="7" t="s">
        <v>13</v>
      </c>
      <c r="B224" s="7" t="s">
        <v>261</v>
      </c>
      <c r="C224" s="8">
        <v>-2700</v>
      </c>
      <c r="D224" s="8">
        <v>-4500</v>
      </c>
      <c r="E224" s="6"/>
      <c r="F224" s="6"/>
      <c r="G224" s="6"/>
    </row>
    <row r="225" spans="1:7" s="4" customFormat="1" ht="9.75" x14ac:dyDescent="0.2">
      <c r="A225" s="7" t="s">
        <v>15</v>
      </c>
      <c r="B225" s="7" t="s">
        <v>262</v>
      </c>
      <c r="C225" s="8">
        <v>-2500</v>
      </c>
      <c r="D225" s="8">
        <v>-57000</v>
      </c>
      <c r="E225" s="6"/>
      <c r="F225" s="6"/>
      <c r="G225" s="6"/>
    </row>
    <row r="226" spans="1:7" s="4" customFormat="1" ht="9.75" x14ac:dyDescent="0.2">
      <c r="A226" s="7" t="s">
        <v>17</v>
      </c>
      <c r="B226" s="7" t="s">
        <v>263</v>
      </c>
      <c r="C226" s="9">
        <v>-383</v>
      </c>
      <c r="D226" s="8">
        <v>-20683</v>
      </c>
      <c r="E226" s="6"/>
      <c r="F226" s="6"/>
      <c r="G226" s="6"/>
    </row>
    <row r="227" spans="1:7" s="4" customFormat="1" ht="9.75" x14ac:dyDescent="0.2">
      <c r="A227" s="7" t="s">
        <v>19</v>
      </c>
      <c r="B227" s="7" t="s">
        <v>264</v>
      </c>
      <c r="C227" s="5" t="s">
        <v>10</v>
      </c>
      <c r="D227" s="8">
        <v>-5300</v>
      </c>
      <c r="E227" s="6"/>
      <c r="F227" s="6"/>
      <c r="G227" s="6"/>
    </row>
    <row r="228" spans="1:7" s="4" customFormat="1" ht="9.75" x14ac:dyDescent="0.2">
      <c r="A228" s="7" t="s">
        <v>21</v>
      </c>
      <c r="B228" s="7" t="s">
        <v>265</v>
      </c>
      <c r="C228" s="5" t="s">
        <v>10</v>
      </c>
      <c r="D228" s="8">
        <v>-3700</v>
      </c>
      <c r="E228" s="6"/>
      <c r="F228" s="6"/>
      <c r="G228" s="6"/>
    </row>
    <row r="229" spans="1:7" s="4" customFormat="1" x14ac:dyDescent="0.2">
      <c r="A229" s="35" t="s">
        <v>266</v>
      </c>
      <c r="B229" s="36"/>
      <c r="C229" s="8">
        <v>-21583</v>
      </c>
      <c r="D229" s="8">
        <v>-316983</v>
      </c>
      <c r="E229" s="6"/>
      <c r="F229" s="6"/>
      <c r="G229" s="6"/>
    </row>
    <row r="230" spans="1:7" s="4" customFormat="1" x14ac:dyDescent="0.2">
      <c r="A230" s="35" t="s">
        <v>267</v>
      </c>
      <c r="B230" s="36"/>
      <c r="C230" s="5" t="s">
        <v>10</v>
      </c>
      <c r="D230" s="5" t="s">
        <v>10</v>
      </c>
      <c r="E230" s="6"/>
      <c r="F230" s="6"/>
      <c r="G230" s="6"/>
    </row>
    <row r="231" spans="1:7" s="4" customFormat="1" ht="9.75" x14ac:dyDescent="0.2">
      <c r="A231" s="7" t="s">
        <v>11</v>
      </c>
      <c r="B231" s="7" t="s">
        <v>268</v>
      </c>
      <c r="C231" s="8">
        <v>-14640</v>
      </c>
      <c r="D231" s="8">
        <v>-39241</v>
      </c>
      <c r="E231" s="6"/>
      <c r="F231" s="6"/>
      <c r="G231" s="6"/>
    </row>
    <row r="232" spans="1:7" s="4" customFormat="1" ht="9.75" x14ac:dyDescent="0.2">
      <c r="A232" s="7" t="s">
        <v>13</v>
      </c>
      <c r="B232" s="7" t="s">
        <v>269</v>
      </c>
      <c r="C232" s="5" t="s">
        <v>10</v>
      </c>
      <c r="D232" s="8">
        <v>-1862</v>
      </c>
      <c r="E232" s="6"/>
      <c r="F232" s="6"/>
      <c r="G232" s="6"/>
    </row>
    <row r="233" spans="1:7" s="4" customFormat="1" ht="9.75" x14ac:dyDescent="0.2">
      <c r="A233" s="7" t="s">
        <v>15</v>
      </c>
      <c r="B233" s="7" t="s">
        <v>270</v>
      </c>
      <c r="C233" s="5" t="s">
        <v>10</v>
      </c>
      <c r="D233" s="8">
        <v>-58500</v>
      </c>
      <c r="E233" s="6"/>
      <c r="F233" s="6"/>
      <c r="G233" s="6"/>
    </row>
    <row r="234" spans="1:7" s="4" customFormat="1" x14ac:dyDescent="0.2">
      <c r="A234" s="35" t="s">
        <v>271</v>
      </c>
      <c r="B234" s="36"/>
      <c r="C234" s="8">
        <v>-14640</v>
      </c>
      <c r="D234" s="8">
        <v>-99603</v>
      </c>
      <c r="E234" s="6"/>
      <c r="F234" s="6"/>
      <c r="G234" s="6"/>
    </row>
    <row r="235" spans="1:7" s="4" customFormat="1" x14ac:dyDescent="0.2">
      <c r="A235" s="35" t="s">
        <v>272</v>
      </c>
      <c r="B235" s="36"/>
      <c r="C235" s="5" t="s">
        <v>10</v>
      </c>
      <c r="D235" s="5" t="s">
        <v>10</v>
      </c>
      <c r="E235" s="6"/>
      <c r="F235" s="6"/>
      <c r="G235" s="6"/>
    </row>
    <row r="236" spans="1:7" s="4" customFormat="1" ht="9.75" x14ac:dyDescent="0.2">
      <c r="A236" s="7" t="s">
        <v>11</v>
      </c>
      <c r="B236" s="7" t="s">
        <v>273</v>
      </c>
      <c r="C236" s="5" t="s">
        <v>10</v>
      </c>
      <c r="D236" s="8">
        <v>-6200</v>
      </c>
      <c r="E236" s="6"/>
      <c r="F236" s="6"/>
      <c r="G236" s="6"/>
    </row>
    <row r="237" spans="1:7" s="4" customFormat="1" ht="9.75" x14ac:dyDescent="0.2">
      <c r="A237" s="7" t="s">
        <v>13</v>
      </c>
      <c r="B237" s="7" t="s">
        <v>274</v>
      </c>
      <c r="C237" s="5" t="s">
        <v>10</v>
      </c>
      <c r="D237" s="9">
        <v>-920</v>
      </c>
      <c r="E237" s="6"/>
      <c r="F237" s="6"/>
      <c r="G237" s="6"/>
    </row>
    <row r="238" spans="1:7" s="4" customFormat="1" ht="9.75" x14ac:dyDescent="0.2">
      <c r="A238" s="7" t="s">
        <v>15</v>
      </c>
      <c r="B238" s="7" t="s">
        <v>275</v>
      </c>
      <c r="C238" s="5" t="s">
        <v>10</v>
      </c>
      <c r="D238" s="8">
        <v>-33197.910000000003</v>
      </c>
      <c r="E238" s="6"/>
      <c r="F238" s="6"/>
      <c r="G238" s="6"/>
    </row>
    <row r="239" spans="1:7" s="4" customFormat="1" ht="9.75" x14ac:dyDescent="0.2">
      <c r="A239" s="7" t="s">
        <v>17</v>
      </c>
      <c r="B239" s="7" t="s">
        <v>276</v>
      </c>
      <c r="C239" s="5" t="s">
        <v>10</v>
      </c>
      <c r="D239" s="8">
        <v>-25310</v>
      </c>
      <c r="E239" s="6"/>
      <c r="F239" s="6"/>
      <c r="G239" s="6"/>
    </row>
    <row r="240" spans="1:7" s="4" customFormat="1" x14ac:dyDescent="0.2">
      <c r="A240" s="35" t="s">
        <v>277</v>
      </c>
      <c r="B240" s="36"/>
      <c r="C240" s="5" t="s">
        <v>10</v>
      </c>
      <c r="D240" s="8">
        <v>-65627.91</v>
      </c>
      <c r="E240" s="6"/>
      <c r="F240" s="6"/>
      <c r="G240" s="6"/>
    </row>
    <row r="241" spans="1:7" s="4" customFormat="1" x14ac:dyDescent="0.2">
      <c r="A241" s="35" t="s">
        <v>278</v>
      </c>
      <c r="B241" s="36"/>
      <c r="C241" s="5" t="s">
        <v>10</v>
      </c>
      <c r="D241" s="5" t="s">
        <v>10</v>
      </c>
      <c r="E241" s="6"/>
      <c r="F241" s="6"/>
      <c r="G241" s="6"/>
    </row>
    <row r="242" spans="1:7" s="4" customFormat="1" ht="9.75" x14ac:dyDescent="0.2">
      <c r="A242" s="7" t="s">
        <v>11</v>
      </c>
      <c r="B242" s="7" t="s">
        <v>268</v>
      </c>
      <c r="C242" s="5" t="s">
        <v>10</v>
      </c>
      <c r="D242" s="8">
        <v>-19947</v>
      </c>
      <c r="E242" s="6"/>
      <c r="F242" s="6"/>
      <c r="G242" s="6"/>
    </row>
    <row r="243" spans="1:7" s="4" customFormat="1" x14ac:dyDescent="0.2">
      <c r="A243" s="35" t="s">
        <v>279</v>
      </c>
      <c r="B243" s="36"/>
      <c r="C243" s="5" t="s">
        <v>10</v>
      </c>
      <c r="D243" s="8">
        <v>-19947</v>
      </c>
      <c r="E243" s="6"/>
      <c r="F243" s="6"/>
      <c r="G243" s="6"/>
    </row>
    <row r="244" spans="1:7" s="4" customFormat="1" x14ac:dyDescent="0.2">
      <c r="A244" s="35" t="s">
        <v>280</v>
      </c>
      <c r="B244" s="36"/>
      <c r="C244" s="5" t="s">
        <v>10</v>
      </c>
      <c r="D244" s="5" t="s">
        <v>10</v>
      </c>
      <c r="E244" s="6"/>
      <c r="F244" s="6"/>
      <c r="G244" s="6"/>
    </row>
    <row r="245" spans="1:7" s="4" customFormat="1" ht="9.75" x14ac:dyDescent="0.2">
      <c r="A245" s="7" t="s">
        <v>11</v>
      </c>
      <c r="B245" s="7" t="s">
        <v>268</v>
      </c>
      <c r="C245" s="8">
        <v>-4199</v>
      </c>
      <c r="D245" s="8">
        <v>-19697</v>
      </c>
      <c r="E245" s="6"/>
      <c r="F245" s="6"/>
      <c r="G245" s="6"/>
    </row>
    <row r="246" spans="1:7" s="4" customFormat="1" x14ac:dyDescent="0.2">
      <c r="A246" s="35" t="s">
        <v>281</v>
      </c>
      <c r="B246" s="36"/>
      <c r="C246" s="8">
        <v>-4199</v>
      </c>
      <c r="D246" s="8">
        <v>-19697</v>
      </c>
      <c r="E246" s="6"/>
      <c r="F246" s="6"/>
      <c r="G246" s="6"/>
    </row>
    <row r="247" spans="1:7" s="4" customFormat="1" x14ac:dyDescent="0.2">
      <c r="A247" s="35" t="s">
        <v>282</v>
      </c>
      <c r="B247" s="36"/>
      <c r="C247" s="5" t="s">
        <v>10</v>
      </c>
      <c r="D247" s="5" t="s">
        <v>10</v>
      </c>
      <c r="E247" s="6"/>
      <c r="F247" s="6"/>
      <c r="G247" s="6"/>
    </row>
    <row r="248" spans="1:7" s="4" customFormat="1" ht="9.75" x14ac:dyDescent="0.2">
      <c r="A248" s="7" t="s">
        <v>11</v>
      </c>
      <c r="B248" s="7" t="s">
        <v>283</v>
      </c>
      <c r="C248" s="8">
        <v>-5000</v>
      </c>
      <c r="D248" s="8">
        <v>-11710</v>
      </c>
      <c r="E248" s="6"/>
      <c r="F248" s="6"/>
      <c r="G248" s="6"/>
    </row>
    <row r="249" spans="1:7" s="4" customFormat="1" ht="9.75" x14ac:dyDescent="0.2">
      <c r="A249" s="7" t="s">
        <v>13</v>
      </c>
      <c r="B249" s="7" t="s">
        <v>284</v>
      </c>
      <c r="C249" s="5" t="s">
        <v>10</v>
      </c>
      <c r="D249" s="8">
        <v>-3500</v>
      </c>
      <c r="E249" s="6"/>
      <c r="F249" s="6"/>
      <c r="G249" s="6"/>
    </row>
    <row r="250" spans="1:7" s="4" customFormat="1" x14ac:dyDescent="0.2">
      <c r="A250" s="35" t="s">
        <v>285</v>
      </c>
      <c r="B250" s="36"/>
      <c r="C250" s="8">
        <v>-5000</v>
      </c>
      <c r="D250" s="8">
        <v>-15210</v>
      </c>
      <c r="E250" s="6"/>
      <c r="F250" s="6"/>
      <c r="G250" s="6"/>
    </row>
    <row r="251" spans="1:7" s="4" customFormat="1" x14ac:dyDescent="0.2">
      <c r="A251" s="35" t="s">
        <v>286</v>
      </c>
      <c r="B251" s="36"/>
      <c r="C251" s="5" t="s">
        <v>10</v>
      </c>
      <c r="D251" s="5" t="s">
        <v>10</v>
      </c>
      <c r="E251" s="6"/>
      <c r="F251" s="6"/>
      <c r="G251" s="6"/>
    </row>
    <row r="252" spans="1:7" s="4" customFormat="1" x14ac:dyDescent="0.2">
      <c r="A252" s="35" t="s">
        <v>287</v>
      </c>
      <c r="B252" s="36"/>
      <c r="C252" s="8">
        <v>-2600</v>
      </c>
      <c r="D252" s="8">
        <v>-41015</v>
      </c>
      <c r="E252" s="6"/>
      <c r="F252" s="6"/>
      <c r="G252" s="6"/>
    </row>
    <row r="253" spans="1:7" s="4" customFormat="1" x14ac:dyDescent="0.2">
      <c r="A253" s="35" t="s">
        <v>288</v>
      </c>
      <c r="B253" s="36"/>
      <c r="C253" s="5" t="s">
        <v>10</v>
      </c>
      <c r="D253" s="5" t="s">
        <v>10</v>
      </c>
      <c r="E253" s="6"/>
      <c r="F253" s="6"/>
      <c r="G253" s="6"/>
    </row>
    <row r="254" spans="1:7" s="4" customFormat="1" x14ac:dyDescent="0.2">
      <c r="A254" s="35" t="s">
        <v>289</v>
      </c>
      <c r="B254" s="36"/>
      <c r="C254" s="8">
        <v>-2650</v>
      </c>
      <c r="D254" s="8">
        <v>-30984</v>
      </c>
      <c r="E254" s="6"/>
      <c r="F254" s="6"/>
      <c r="G254" s="6"/>
    </row>
    <row r="255" spans="1:7" s="4" customFormat="1" x14ac:dyDescent="0.2">
      <c r="A255" s="35" t="s">
        <v>290</v>
      </c>
      <c r="B255" s="36"/>
      <c r="C255" s="5" t="s">
        <v>10</v>
      </c>
      <c r="D255" s="5" t="s">
        <v>10</v>
      </c>
      <c r="E255" s="6"/>
      <c r="F255" s="6"/>
      <c r="G255" s="6"/>
    </row>
    <row r="256" spans="1:7" s="4" customFormat="1" x14ac:dyDescent="0.2">
      <c r="A256" s="35" t="s">
        <v>291</v>
      </c>
      <c r="B256" s="36"/>
      <c r="C256" s="5" t="s">
        <v>10</v>
      </c>
      <c r="D256" s="8">
        <v>-5396</v>
      </c>
      <c r="E256" s="6"/>
      <c r="F256" s="6"/>
      <c r="G256" s="6"/>
    </row>
    <row r="257" spans="1:7" s="4" customFormat="1" x14ac:dyDescent="0.2">
      <c r="A257" s="35" t="s">
        <v>292</v>
      </c>
      <c r="B257" s="36"/>
      <c r="C257" s="5" t="s">
        <v>10</v>
      </c>
      <c r="D257" s="5" t="s">
        <v>10</v>
      </c>
      <c r="E257" s="6"/>
      <c r="F257" s="6"/>
      <c r="G257" s="6"/>
    </row>
    <row r="258" spans="1:7" s="4" customFormat="1" ht="9.75" x14ac:dyDescent="0.2">
      <c r="A258" s="7" t="s">
        <v>11</v>
      </c>
      <c r="B258" s="7" t="s">
        <v>293</v>
      </c>
      <c r="C258" s="8">
        <v>-15000</v>
      </c>
      <c r="D258" s="8">
        <v>-29000</v>
      </c>
      <c r="E258" s="6"/>
      <c r="F258" s="6"/>
      <c r="G258" s="6"/>
    </row>
    <row r="259" spans="1:7" s="4" customFormat="1" ht="9.75" x14ac:dyDescent="0.2">
      <c r="A259" s="7" t="s">
        <v>13</v>
      </c>
      <c r="B259" s="7" t="s">
        <v>294</v>
      </c>
      <c r="C259" s="8">
        <v>-5000</v>
      </c>
      <c r="D259" s="8">
        <v>-10000</v>
      </c>
      <c r="E259" s="6"/>
      <c r="F259" s="6"/>
      <c r="G259" s="6"/>
    </row>
    <row r="260" spans="1:7" s="4" customFormat="1" ht="9.75" x14ac:dyDescent="0.2">
      <c r="A260" s="7" t="s">
        <v>15</v>
      </c>
      <c r="B260" s="7" t="s">
        <v>295</v>
      </c>
      <c r="C260" s="5" t="s">
        <v>10</v>
      </c>
      <c r="D260" s="8">
        <v>-20000</v>
      </c>
      <c r="E260" s="6"/>
      <c r="F260" s="6"/>
      <c r="G260" s="6"/>
    </row>
    <row r="261" spans="1:7" s="4" customFormat="1" ht="9.75" x14ac:dyDescent="0.2">
      <c r="A261" s="7" t="s">
        <v>17</v>
      </c>
      <c r="B261" s="7" t="s">
        <v>296</v>
      </c>
      <c r="C261" s="5" t="s">
        <v>10</v>
      </c>
      <c r="D261" s="8">
        <v>-24400</v>
      </c>
      <c r="E261" s="6"/>
      <c r="F261" s="6"/>
      <c r="G261" s="6"/>
    </row>
    <row r="262" spans="1:7" s="4" customFormat="1" ht="9.75" x14ac:dyDescent="0.2">
      <c r="A262" s="7" t="s">
        <v>19</v>
      </c>
      <c r="B262" s="7" t="s">
        <v>297</v>
      </c>
      <c r="C262" s="5" t="s">
        <v>10</v>
      </c>
      <c r="D262" s="8">
        <v>-35000</v>
      </c>
      <c r="E262" s="6"/>
      <c r="F262" s="6"/>
      <c r="G262" s="6"/>
    </row>
    <row r="263" spans="1:7" s="4" customFormat="1" ht="9.75" x14ac:dyDescent="0.2">
      <c r="A263" s="7" t="s">
        <v>21</v>
      </c>
      <c r="B263" s="7" t="s">
        <v>298</v>
      </c>
      <c r="C263" s="5" t="s">
        <v>10</v>
      </c>
      <c r="D263" s="8">
        <v>-60000</v>
      </c>
      <c r="E263" s="6"/>
      <c r="F263" s="6"/>
      <c r="G263" s="6"/>
    </row>
    <row r="264" spans="1:7" s="4" customFormat="1" ht="9.75" x14ac:dyDescent="0.2">
      <c r="A264" s="7" t="s">
        <v>23</v>
      </c>
      <c r="B264" s="7" t="s">
        <v>299</v>
      </c>
      <c r="C264" s="5" t="s">
        <v>10</v>
      </c>
      <c r="D264" s="8">
        <v>-4500</v>
      </c>
      <c r="E264" s="6"/>
      <c r="F264" s="6"/>
      <c r="G264" s="6"/>
    </row>
    <row r="265" spans="1:7" s="4" customFormat="1" x14ac:dyDescent="0.2">
      <c r="A265" s="35" t="s">
        <v>300</v>
      </c>
      <c r="B265" s="36"/>
      <c r="C265" s="8">
        <v>-20000</v>
      </c>
      <c r="D265" s="8">
        <v>-182900</v>
      </c>
      <c r="E265" s="6"/>
      <c r="F265" s="6"/>
      <c r="G265" s="6"/>
    </row>
    <row r="266" spans="1:7" s="4" customFormat="1" x14ac:dyDescent="0.2">
      <c r="A266" s="35" t="s">
        <v>301</v>
      </c>
      <c r="B266" s="36"/>
      <c r="C266" s="5" t="s">
        <v>10</v>
      </c>
      <c r="D266" s="5" t="s">
        <v>10</v>
      </c>
      <c r="E266" s="6"/>
      <c r="F266" s="6"/>
      <c r="G266" s="6"/>
    </row>
    <row r="267" spans="1:7" s="4" customFormat="1" ht="9.75" x14ac:dyDescent="0.2">
      <c r="A267" s="7" t="s">
        <v>11</v>
      </c>
      <c r="B267" s="7" t="s">
        <v>302</v>
      </c>
      <c r="C267" s="8">
        <v>-26463</v>
      </c>
      <c r="D267" s="8">
        <v>-29463</v>
      </c>
      <c r="E267" s="6"/>
      <c r="F267" s="6"/>
      <c r="G267" s="6"/>
    </row>
    <row r="268" spans="1:7" s="4" customFormat="1" ht="9.75" x14ac:dyDescent="0.2">
      <c r="A268" s="7" t="s">
        <v>13</v>
      </c>
      <c r="B268" s="7" t="s">
        <v>303</v>
      </c>
      <c r="C268" s="8">
        <v>-2500</v>
      </c>
      <c r="D268" s="8">
        <v>-2500</v>
      </c>
      <c r="E268" s="6"/>
      <c r="F268" s="6"/>
      <c r="G268" s="6"/>
    </row>
    <row r="269" spans="1:7" s="4" customFormat="1" ht="9.75" x14ac:dyDescent="0.2">
      <c r="A269" s="7" t="s">
        <v>15</v>
      </c>
      <c r="B269" s="7" t="s">
        <v>304</v>
      </c>
      <c r="C269" s="8">
        <v>-2000</v>
      </c>
      <c r="D269" s="8">
        <v>-2000</v>
      </c>
      <c r="E269" s="6"/>
      <c r="F269" s="6"/>
      <c r="G269" s="6"/>
    </row>
    <row r="270" spans="1:7" s="4" customFormat="1" ht="9.75" x14ac:dyDescent="0.2">
      <c r="A270" s="7" t="s">
        <v>17</v>
      </c>
      <c r="B270" s="7" t="s">
        <v>305</v>
      </c>
      <c r="C270" s="8">
        <v>-1700</v>
      </c>
      <c r="D270" s="8">
        <v>-3550</v>
      </c>
      <c r="E270" s="6"/>
      <c r="F270" s="6"/>
      <c r="G270" s="6"/>
    </row>
    <row r="271" spans="1:7" s="4" customFormat="1" ht="9.75" x14ac:dyDescent="0.2">
      <c r="A271" s="7" t="s">
        <v>19</v>
      </c>
      <c r="B271" s="7" t="s">
        <v>306</v>
      </c>
      <c r="C271" s="9">
        <v>-150</v>
      </c>
      <c r="D271" s="9">
        <v>-150</v>
      </c>
      <c r="E271" s="6"/>
      <c r="F271" s="6"/>
      <c r="G271" s="6"/>
    </row>
    <row r="272" spans="1:7" s="4" customFormat="1" ht="9.75" x14ac:dyDescent="0.2">
      <c r="A272" s="7" t="s">
        <v>21</v>
      </c>
      <c r="B272" s="7" t="s">
        <v>307</v>
      </c>
      <c r="C272" s="5" t="s">
        <v>10</v>
      </c>
      <c r="D272" s="8">
        <v>-6175</v>
      </c>
      <c r="E272" s="6"/>
      <c r="F272" s="6"/>
      <c r="G272" s="6"/>
    </row>
    <row r="273" spans="1:7" s="4" customFormat="1" ht="9.75" x14ac:dyDescent="0.2">
      <c r="A273" s="7" t="s">
        <v>23</v>
      </c>
      <c r="B273" s="7" t="s">
        <v>308</v>
      </c>
      <c r="C273" s="5" t="s">
        <v>10</v>
      </c>
      <c r="D273" s="8">
        <v>-106287</v>
      </c>
      <c r="E273" s="6"/>
      <c r="F273" s="6"/>
      <c r="G273" s="6"/>
    </row>
    <row r="274" spans="1:7" s="4" customFormat="1" ht="18" x14ac:dyDescent="0.2">
      <c r="A274" s="7" t="s">
        <v>25</v>
      </c>
      <c r="B274" s="7" t="s">
        <v>309</v>
      </c>
      <c r="C274" s="5" t="s">
        <v>10</v>
      </c>
      <c r="D274" s="8">
        <v>-48372</v>
      </c>
      <c r="E274" s="6"/>
      <c r="F274" s="6"/>
      <c r="G274" s="6"/>
    </row>
    <row r="275" spans="1:7" s="4" customFormat="1" x14ac:dyDescent="0.2">
      <c r="A275" s="35" t="s">
        <v>310</v>
      </c>
      <c r="B275" s="36"/>
      <c r="C275" s="8">
        <v>-32813</v>
      </c>
      <c r="D275" s="8">
        <v>-198497</v>
      </c>
      <c r="E275" s="6"/>
      <c r="F275" s="6"/>
      <c r="G275" s="6"/>
    </row>
    <row r="276" spans="1:7" s="4" customFormat="1" x14ac:dyDescent="0.2">
      <c r="A276" s="35" t="s">
        <v>311</v>
      </c>
      <c r="B276" s="36"/>
      <c r="C276" s="5" t="s">
        <v>10</v>
      </c>
      <c r="D276" s="5" t="s">
        <v>10</v>
      </c>
      <c r="E276" s="6"/>
      <c r="F276" s="6"/>
      <c r="G276" s="6"/>
    </row>
    <row r="277" spans="1:7" s="4" customFormat="1" ht="9.75" x14ac:dyDescent="0.2">
      <c r="A277" s="7" t="s">
        <v>11</v>
      </c>
      <c r="B277" s="7" t="s">
        <v>312</v>
      </c>
      <c r="C277" s="5" t="s">
        <v>10</v>
      </c>
      <c r="D277" s="8">
        <v>-9369</v>
      </c>
      <c r="E277" s="6"/>
      <c r="F277" s="6"/>
      <c r="G277" s="6"/>
    </row>
    <row r="278" spans="1:7" s="4" customFormat="1" ht="9.75" x14ac:dyDescent="0.2">
      <c r="A278" s="7" t="s">
        <v>13</v>
      </c>
      <c r="B278" s="7" t="s">
        <v>313</v>
      </c>
      <c r="C278" s="5" t="s">
        <v>10</v>
      </c>
      <c r="D278" s="8">
        <v>-3000</v>
      </c>
      <c r="E278" s="6"/>
      <c r="F278" s="6"/>
      <c r="G278" s="6"/>
    </row>
    <row r="279" spans="1:7" s="4" customFormat="1" ht="9.75" x14ac:dyDescent="0.2">
      <c r="A279" s="7" t="s">
        <v>15</v>
      </c>
      <c r="B279" s="7" t="s">
        <v>265</v>
      </c>
      <c r="C279" s="5" t="s">
        <v>10</v>
      </c>
      <c r="D279" s="8">
        <v>-1000</v>
      </c>
      <c r="E279" s="6"/>
      <c r="F279" s="6"/>
      <c r="G279" s="6"/>
    </row>
    <row r="280" spans="1:7" s="4" customFormat="1" ht="9.75" x14ac:dyDescent="0.2">
      <c r="A280" s="7" t="s">
        <v>17</v>
      </c>
      <c r="B280" s="7" t="s">
        <v>314</v>
      </c>
      <c r="C280" s="5" t="s">
        <v>10</v>
      </c>
      <c r="D280" s="8">
        <v>-20500</v>
      </c>
      <c r="E280" s="6"/>
      <c r="F280" s="6"/>
      <c r="G280" s="6"/>
    </row>
    <row r="281" spans="1:7" s="4" customFormat="1" ht="9.75" x14ac:dyDescent="0.2">
      <c r="A281" s="7" t="s">
        <v>19</v>
      </c>
      <c r="B281" s="7" t="s">
        <v>315</v>
      </c>
      <c r="C281" s="5" t="s">
        <v>10</v>
      </c>
      <c r="D281" s="8">
        <v>-40500</v>
      </c>
      <c r="E281" s="6"/>
      <c r="F281" s="6"/>
      <c r="G281" s="6"/>
    </row>
    <row r="282" spans="1:7" s="4" customFormat="1" x14ac:dyDescent="0.2">
      <c r="A282" s="35" t="s">
        <v>316</v>
      </c>
      <c r="B282" s="36"/>
      <c r="C282" s="5" t="s">
        <v>10</v>
      </c>
      <c r="D282" s="8">
        <v>-74369</v>
      </c>
      <c r="E282" s="6"/>
      <c r="F282" s="6"/>
      <c r="G282" s="6"/>
    </row>
    <row r="283" spans="1:7" s="4" customFormat="1" x14ac:dyDescent="0.2">
      <c r="A283" s="35" t="s">
        <v>317</v>
      </c>
      <c r="B283" s="36"/>
      <c r="C283" s="5" t="s">
        <v>10</v>
      </c>
      <c r="D283" s="5" t="s">
        <v>10</v>
      </c>
      <c r="E283" s="6"/>
      <c r="F283" s="6"/>
      <c r="G283" s="6"/>
    </row>
    <row r="284" spans="1:7" s="4" customFormat="1" ht="9.75" x14ac:dyDescent="0.2">
      <c r="A284" s="7" t="s">
        <v>11</v>
      </c>
      <c r="B284" s="7" t="s">
        <v>318</v>
      </c>
      <c r="C284" s="8">
        <v>-300000</v>
      </c>
      <c r="D284" s="8">
        <v>-300000</v>
      </c>
      <c r="E284" s="6"/>
      <c r="F284" s="6"/>
      <c r="G284" s="6"/>
    </row>
    <row r="285" spans="1:7" s="4" customFormat="1" ht="9.75" x14ac:dyDescent="0.2">
      <c r="A285" s="7" t="s">
        <v>13</v>
      </c>
      <c r="B285" s="7" t="s">
        <v>265</v>
      </c>
      <c r="C285" s="8">
        <v>-3800</v>
      </c>
      <c r="D285" s="8">
        <v>-3800</v>
      </c>
      <c r="E285" s="6"/>
      <c r="F285" s="6"/>
      <c r="G285" s="6"/>
    </row>
    <row r="286" spans="1:7" s="4" customFormat="1" ht="9.75" x14ac:dyDescent="0.2">
      <c r="A286" s="7" t="s">
        <v>15</v>
      </c>
      <c r="B286" s="7" t="s">
        <v>319</v>
      </c>
      <c r="C286" s="8">
        <v>-3570</v>
      </c>
      <c r="D286" s="8">
        <v>-3994</v>
      </c>
      <c r="E286" s="6"/>
      <c r="F286" s="6"/>
      <c r="G286" s="6"/>
    </row>
    <row r="287" spans="1:7" s="4" customFormat="1" ht="9.75" x14ac:dyDescent="0.2">
      <c r="A287" s="7" t="s">
        <v>17</v>
      </c>
      <c r="B287" s="7" t="s">
        <v>320</v>
      </c>
      <c r="C287" s="5" t="s">
        <v>10</v>
      </c>
      <c r="D287" s="8">
        <v>-438880</v>
      </c>
      <c r="E287" s="6"/>
      <c r="F287" s="6"/>
      <c r="G287" s="6"/>
    </row>
    <row r="288" spans="1:7" s="4" customFormat="1" x14ac:dyDescent="0.2">
      <c r="A288" s="35" t="s">
        <v>321</v>
      </c>
      <c r="B288" s="36"/>
      <c r="C288" s="8">
        <v>-307370</v>
      </c>
      <c r="D288" s="8">
        <v>-746674</v>
      </c>
      <c r="E288" s="6"/>
      <c r="F288" s="6"/>
      <c r="G288" s="6"/>
    </row>
    <row r="289" spans="1:7" s="4" customFormat="1" x14ac:dyDescent="0.2">
      <c r="A289" s="35" t="s">
        <v>322</v>
      </c>
      <c r="B289" s="36"/>
      <c r="C289" s="5" t="s">
        <v>10</v>
      </c>
      <c r="D289" s="5" t="s">
        <v>10</v>
      </c>
      <c r="E289" s="6"/>
      <c r="F289" s="6"/>
      <c r="G289" s="6"/>
    </row>
    <row r="290" spans="1:7" s="4" customFormat="1" ht="9.75" x14ac:dyDescent="0.2">
      <c r="A290" s="7" t="s">
        <v>11</v>
      </c>
      <c r="B290" s="7" t="s">
        <v>323</v>
      </c>
      <c r="C290" s="5" t="s">
        <v>10</v>
      </c>
      <c r="D290" s="8">
        <v>-17268</v>
      </c>
      <c r="E290" s="6"/>
      <c r="F290" s="6"/>
      <c r="G290" s="6"/>
    </row>
    <row r="291" spans="1:7" s="4" customFormat="1" ht="9.75" x14ac:dyDescent="0.2">
      <c r="A291" s="7" t="s">
        <v>13</v>
      </c>
      <c r="B291" s="7" t="s">
        <v>324</v>
      </c>
      <c r="C291" s="5" t="s">
        <v>10</v>
      </c>
      <c r="D291" s="8">
        <v>-20378</v>
      </c>
      <c r="E291" s="6"/>
      <c r="F291" s="6"/>
      <c r="G291" s="6"/>
    </row>
    <row r="292" spans="1:7" s="4" customFormat="1" ht="9.75" x14ac:dyDescent="0.2">
      <c r="A292" s="7" t="s">
        <v>15</v>
      </c>
      <c r="B292" s="7" t="s">
        <v>325</v>
      </c>
      <c r="C292" s="5" t="s">
        <v>10</v>
      </c>
      <c r="D292" s="8">
        <v>-10694</v>
      </c>
      <c r="E292" s="6"/>
      <c r="F292" s="6"/>
      <c r="G292" s="6"/>
    </row>
    <row r="293" spans="1:7" s="4" customFormat="1" ht="9.75" x14ac:dyDescent="0.2">
      <c r="A293" s="7" t="s">
        <v>17</v>
      </c>
      <c r="B293" s="7" t="s">
        <v>326</v>
      </c>
      <c r="C293" s="5" t="s">
        <v>10</v>
      </c>
      <c r="D293" s="8">
        <v>-4578.6099999999997</v>
      </c>
      <c r="E293" s="6"/>
      <c r="F293" s="6"/>
      <c r="G293" s="6"/>
    </row>
    <row r="294" spans="1:7" s="4" customFormat="1" ht="9.75" x14ac:dyDescent="0.2">
      <c r="A294" s="7" t="s">
        <v>19</v>
      </c>
      <c r="B294" s="7" t="s">
        <v>327</v>
      </c>
      <c r="C294" s="5" t="s">
        <v>10</v>
      </c>
      <c r="D294" s="8">
        <v>-8120</v>
      </c>
      <c r="E294" s="6"/>
      <c r="F294" s="6"/>
      <c r="G294" s="6"/>
    </row>
    <row r="295" spans="1:7" s="4" customFormat="1" ht="9.75" x14ac:dyDescent="0.2">
      <c r="A295" s="7" t="s">
        <v>21</v>
      </c>
      <c r="B295" s="7" t="s">
        <v>328</v>
      </c>
      <c r="C295" s="5" t="s">
        <v>10</v>
      </c>
      <c r="D295" s="8">
        <v>-1000</v>
      </c>
      <c r="E295" s="6"/>
      <c r="F295" s="6"/>
      <c r="G295" s="6"/>
    </row>
    <row r="296" spans="1:7" s="4" customFormat="1" ht="9.75" x14ac:dyDescent="0.2">
      <c r="A296" s="7" t="s">
        <v>23</v>
      </c>
      <c r="B296" s="7" t="s">
        <v>329</v>
      </c>
      <c r="C296" s="5" t="s">
        <v>10</v>
      </c>
      <c r="D296" s="8">
        <v>-15200</v>
      </c>
      <c r="E296" s="6"/>
      <c r="F296" s="6"/>
      <c r="G296" s="6"/>
    </row>
    <row r="297" spans="1:7" s="4" customFormat="1" ht="9.75" x14ac:dyDescent="0.2">
      <c r="A297" s="7" t="s">
        <v>25</v>
      </c>
      <c r="B297" s="7" t="s">
        <v>330</v>
      </c>
      <c r="C297" s="5" t="s">
        <v>10</v>
      </c>
      <c r="D297" s="8">
        <v>-8190</v>
      </c>
      <c r="E297" s="6"/>
      <c r="F297" s="6"/>
      <c r="G297" s="6"/>
    </row>
    <row r="298" spans="1:7" s="4" customFormat="1" x14ac:dyDescent="0.2">
      <c r="A298" s="35" t="s">
        <v>331</v>
      </c>
      <c r="B298" s="36"/>
      <c r="C298" s="5" t="s">
        <v>10</v>
      </c>
      <c r="D298" s="8">
        <v>-85428.61</v>
      </c>
      <c r="E298" s="6"/>
      <c r="F298" s="6"/>
      <c r="G298" s="6"/>
    </row>
    <row r="299" spans="1:7" x14ac:dyDescent="0.2">
      <c r="B299" s="10" t="s">
        <v>332</v>
      </c>
      <c r="C299" s="11">
        <v>-123450.73</v>
      </c>
      <c r="D299" s="11">
        <v>-7812350.3799999999</v>
      </c>
    </row>
  </sheetData>
  <mergeCells count="68">
    <mergeCell ref="A71:B71"/>
    <mergeCell ref="A1:G1"/>
    <mergeCell ref="A2:G2"/>
    <mergeCell ref="A5:B5"/>
    <mergeCell ref="A24:B24"/>
    <mergeCell ref="A25:B25"/>
    <mergeCell ref="A46:B46"/>
    <mergeCell ref="A47:B47"/>
    <mergeCell ref="A52:B52"/>
    <mergeCell ref="A53:B53"/>
    <mergeCell ref="A56:B56"/>
    <mergeCell ref="A57:B57"/>
    <mergeCell ref="A121:B121"/>
    <mergeCell ref="A72:B72"/>
    <mergeCell ref="A74:B74"/>
    <mergeCell ref="A75:B75"/>
    <mergeCell ref="A80:B80"/>
    <mergeCell ref="A81:B81"/>
    <mergeCell ref="A97:B97"/>
    <mergeCell ref="A98:B98"/>
    <mergeCell ref="A102:B102"/>
    <mergeCell ref="A103:B103"/>
    <mergeCell ref="A108:B108"/>
    <mergeCell ref="A109:B109"/>
    <mergeCell ref="A177:B177"/>
    <mergeCell ref="A122:B122"/>
    <mergeCell ref="A125:B125"/>
    <mergeCell ref="A126:B126"/>
    <mergeCell ref="A129:B129"/>
    <mergeCell ref="A130:B130"/>
    <mergeCell ref="A151:B151"/>
    <mergeCell ref="A152:B152"/>
    <mergeCell ref="A163:B163"/>
    <mergeCell ref="A164:B164"/>
    <mergeCell ref="A167:B167"/>
    <mergeCell ref="A168:B168"/>
    <mergeCell ref="A243:B243"/>
    <mergeCell ref="A178:B178"/>
    <mergeCell ref="A214:B214"/>
    <mergeCell ref="A215:B215"/>
    <mergeCell ref="A221:B221"/>
    <mergeCell ref="A222:B222"/>
    <mergeCell ref="A229:B229"/>
    <mergeCell ref="A230:B230"/>
    <mergeCell ref="A234:B234"/>
    <mergeCell ref="A235:B235"/>
    <mergeCell ref="A240:B240"/>
    <mergeCell ref="A241:B241"/>
    <mergeCell ref="A265:B265"/>
    <mergeCell ref="A244:B244"/>
    <mergeCell ref="A246:B246"/>
    <mergeCell ref="A247:B247"/>
    <mergeCell ref="A250:B250"/>
    <mergeCell ref="A251:B251"/>
    <mergeCell ref="A252:B252"/>
    <mergeCell ref="A253:B253"/>
    <mergeCell ref="A254:B254"/>
    <mergeCell ref="A255:B255"/>
    <mergeCell ref="A256:B256"/>
    <mergeCell ref="A257:B257"/>
    <mergeCell ref="A289:B289"/>
    <mergeCell ref="A298:B298"/>
    <mergeCell ref="A266:B266"/>
    <mergeCell ref="A275:B275"/>
    <mergeCell ref="A276:B276"/>
    <mergeCell ref="A282:B282"/>
    <mergeCell ref="A283:B283"/>
    <mergeCell ref="A288:B288"/>
  </mergeCells>
  <pageMargins left="0.75" right="0.75" top="1" bottom="1" header="0.5" footer="0.5"/>
  <pageSetup paperSize="9" orientation="portrait" r:id="rId1"/>
  <headerFooter>
    <oddFooter>&amp;CСтр. #P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3"/>
  <sheetViews>
    <sheetView tabSelected="1" topLeftCell="A83" workbookViewId="0">
      <selection activeCell="J62" sqref="J62:J116"/>
    </sheetView>
  </sheetViews>
  <sheetFormatPr defaultRowHeight="11.25" x14ac:dyDescent="0.2"/>
  <cols>
    <col min="8" max="8" width="35.33203125" bestFit="1" customWidth="1"/>
    <col min="9" max="9" width="8.5" bestFit="1" customWidth="1"/>
    <col min="10" max="10" width="48.83203125" bestFit="1" customWidth="1"/>
    <col min="11" max="11" width="45.33203125" bestFit="1" customWidth="1"/>
    <col min="12" max="12" width="32.1640625" bestFit="1" customWidth="1"/>
  </cols>
  <sheetData>
    <row r="1" spans="1:17" x14ac:dyDescent="0.2">
      <c r="I1" s="22">
        <v>1</v>
      </c>
      <c r="J1" s="22">
        <v>2</v>
      </c>
      <c r="K1" s="22">
        <v>3</v>
      </c>
      <c r="L1" s="22">
        <v>4</v>
      </c>
    </row>
    <row r="2" spans="1:17" x14ac:dyDescent="0.2">
      <c r="A2" s="18"/>
      <c r="B2" s="14"/>
      <c r="I2" s="23" t="s">
        <v>333</v>
      </c>
      <c r="J2" s="25"/>
      <c r="K2" s="27"/>
      <c r="L2" s="29"/>
      <c r="Q2" s="31"/>
    </row>
    <row r="3" spans="1:17" x14ac:dyDescent="0.2">
      <c r="A3" s="18"/>
      <c r="B3" s="14"/>
      <c r="H3" s="30" t="s">
        <v>333</v>
      </c>
      <c r="I3" s="24"/>
      <c r="J3" s="26" t="s">
        <v>335</v>
      </c>
      <c r="K3" s="27"/>
      <c r="L3" s="29"/>
      <c r="Q3" s="31"/>
    </row>
    <row r="4" spans="1:17" s="30" customFormat="1" x14ac:dyDescent="0.2">
      <c r="A4" s="18"/>
      <c r="B4" s="14"/>
      <c r="H4" s="30" t="s">
        <v>333</v>
      </c>
      <c r="I4" s="24"/>
      <c r="J4" s="26" t="s">
        <v>488</v>
      </c>
      <c r="K4" s="27"/>
      <c r="L4" s="29"/>
      <c r="Q4" s="31"/>
    </row>
    <row r="5" spans="1:17" s="30" customFormat="1" x14ac:dyDescent="0.2">
      <c r="A5" s="18"/>
      <c r="B5" s="14"/>
      <c r="H5" s="30" t="s">
        <v>488</v>
      </c>
      <c r="I5" s="24"/>
      <c r="J5" s="26"/>
      <c r="K5" s="27" t="s">
        <v>489</v>
      </c>
      <c r="L5" s="29"/>
      <c r="Q5" s="31"/>
    </row>
    <row r="6" spans="1:17" s="30" customFormat="1" x14ac:dyDescent="0.2">
      <c r="A6" s="18"/>
      <c r="B6" s="14"/>
      <c r="H6" s="30" t="s">
        <v>488</v>
      </c>
      <c r="I6" s="24"/>
      <c r="J6" s="26"/>
      <c r="K6" s="27" t="s">
        <v>336</v>
      </c>
      <c r="L6" s="29"/>
      <c r="Q6" s="31"/>
    </row>
    <row r="7" spans="1:17" x14ac:dyDescent="0.2">
      <c r="A7" s="18"/>
      <c r="B7" s="14"/>
      <c r="H7" s="30" t="s">
        <v>333</v>
      </c>
      <c r="I7" s="24"/>
      <c r="J7" s="26" t="s">
        <v>337</v>
      </c>
      <c r="K7" s="27"/>
      <c r="L7" s="29"/>
      <c r="Q7" s="31"/>
    </row>
    <row r="8" spans="1:17" s="30" customFormat="1" x14ac:dyDescent="0.2">
      <c r="A8" s="18"/>
      <c r="B8" s="14"/>
      <c r="H8" s="30" t="s">
        <v>333</v>
      </c>
      <c r="I8" s="24"/>
      <c r="J8" s="26" t="s">
        <v>493</v>
      </c>
      <c r="K8" s="27"/>
      <c r="L8" s="29"/>
      <c r="Q8" s="31"/>
    </row>
    <row r="9" spans="1:17" x14ac:dyDescent="0.2">
      <c r="A9" s="18"/>
      <c r="B9" s="14"/>
      <c r="I9" s="24"/>
      <c r="J9" s="26"/>
      <c r="K9" s="27"/>
      <c r="L9" s="29"/>
    </row>
    <row r="10" spans="1:17" x14ac:dyDescent="0.2">
      <c r="A10" s="18"/>
      <c r="B10" s="21"/>
      <c r="I10" s="23" t="s">
        <v>338</v>
      </c>
      <c r="J10" s="26"/>
      <c r="K10" s="27"/>
      <c r="L10" s="29"/>
    </row>
    <row r="11" spans="1:17" x14ac:dyDescent="0.2">
      <c r="A11" s="18"/>
      <c r="B11" s="21"/>
      <c r="H11" s="30" t="s">
        <v>338</v>
      </c>
      <c r="I11" s="24"/>
      <c r="J11" s="26" t="s">
        <v>411</v>
      </c>
      <c r="K11" s="27"/>
      <c r="L11" s="29"/>
    </row>
    <row r="12" spans="1:17" x14ac:dyDescent="0.2">
      <c r="A12" s="18"/>
      <c r="B12" s="15"/>
      <c r="H12" s="30" t="s">
        <v>411</v>
      </c>
      <c r="I12" s="24"/>
      <c r="J12" s="25"/>
      <c r="K12" s="28" t="s">
        <v>414</v>
      </c>
      <c r="L12" s="29"/>
    </row>
    <row r="13" spans="1:17" x14ac:dyDescent="0.2">
      <c r="A13" s="18"/>
      <c r="B13" s="14"/>
      <c r="H13" s="30" t="s">
        <v>414</v>
      </c>
      <c r="I13" s="24"/>
      <c r="J13" s="25"/>
      <c r="K13" s="27"/>
      <c r="L13" s="29" t="s">
        <v>345</v>
      </c>
      <c r="Q13" s="31"/>
    </row>
    <row r="14" spans="1:17" x14ac:dyDescent="0.2">
      <c r="A14" s="18"/>
      <c r="B14" s="14"/>
      <c r="H14" s="30" t="s">
        <v>414</v>
      </c>
      <c r="I14" s="24"/>
      <c r="J14" s="25"/>
      <c r="K14" s="27"/>
      <c r="L14" s="29" t="s">
        <v>347</v>
      </c>
      <c r="Q14" s="31"/>
    </row>
    <row r="15" spans="1:17" s="30" customFormat="1" x14ac:dyDescent="0.2">
      <c r="A15" s="18"/>
      <c r="B15" s="14"/>
      <c r="H15" s="30" t="s">
        <v>414</v>
      </c>
      <c r="I15" s="24"/>
      <c r="J15" s="25"/>
      <c r="K15" s="27"/>
      <c r="L15" s="29" t="s">
        <v>490</v>
      </c>
      <c r="Q15" s="31"/>
    </row>
    <row r="16" spans="1:17" s="30" customFormat="1" x14ac:dyDescent="0.2">
      <c r="A16" s="18"/>
      <c r="B16" s="14"/>
      <c r="H16" s="30" t="s">
        <v>414</v>
      </c>
      <c r="I16" s="24"/>
      <c r="J16" s="25"/>
      <c r="K16" s="27"/>
      <c r="L16" s="29" t="s">
        <v>485</v>
      </c>
      <c r="Q16" s="31"/>
    </row>
    <row r="17" spans="1:19" s="30" customFormat="1" x14ac:dyDescent="0.2">
      <c r="A17" s="18"/>
      <c r="B17" s="14"/>
      <c r="H17" s="30" t="s">
        <v>411</v>
      </c>
      <c r="I17" s="24"/>
      <c r="J17" s="25"/>
      <c r="K17" s="27" t="s">
        <v>486</v>
      </c>
      <c r="L17" s="29"/>
      <c r="Q17" s="31"/>
    </row>
    <row r="18" spans="1:19" s="30" customFormat="1" x14ac:dyDescent="0.2">
      <c r="A18" s="18"/>
      <c r="B18" s="14"/>
      <c r="H18" s="30" t="s">
        <v>411</v>
      </c>
      <c r="I18" s="24"/>
      <c r="J18" s="25"/>
      <c r="K18" s="27" t="s">
        <v>353</v>
      </c>
      <c r="L18" s="29"/>
      <c r="Q18" s="31"/>
    </row>
    <row r="19" spans="1:19" s="30" customFormat="1" x14ac:dyDescent="0.2">
      <c r="A19" s="18"/>
      <c r="B19" s="14"/>
      <c r="H19" s="30" t="s">
        <v>411</v>
      </c>
      <c r="I19" s="24"/>
      <c r="J19" s="25"/>
      <c r="K19" s="27" t="s">
        <v>491</v>
      </c>
      <c r="L19" s="29"/>
      <c r="Q19" s="31"/>
    </row>
    <row r="20" spans="1:19" s="30" customFormat="1" x14ac:dyDescent="0.2">
      <c r="A20" s="18"/>
      <c r="B20" s="14"/>
      <c r="H20" s="30" t="s">
        <v>411</v>
      </c>
      <c r="I20" s="24"/>
      <c r="J20" s="25"/>
      <c r="K20" s="27" t="s">
        <v>487</v>
      </c>
      <c r="L20" s="29"/>
      <c r="Q20" s="31"/>
    </row>
    <row r="21" spans="1:19" s="30" customFormat="1" x14ac:dyDescent="0.2">
      <c r="A21" s="18"/>
      <c r="B21" s="14"/>
      <c r="H21" s="30" t="s">
        <v>411</v>
      </c>
      <c r="I21" s="24"/>
      <c r="J21" s="25"/>
      <c r="K21" s="27" t="s">
        <v>492</v>
      </c>
      <c r="L21" s="29"/>
      <c r="Q21" s="31"/>
    </row>
    <row r="22" spans="1:19" s="30" customFormat="1" x14ac:dyDescent="0.2">
      <c r="A22" s="18"/>
      <c r="B22" s="14"/>
      <c r="H22" s="30" t="s">
        <v>411</v>
      </c>
      <c r="I22" s="24"/>
      <c r="J22" s="25"/>
      <c r="K22" s="27" t="s">
        <v>494</v>
      </c>
      <c r="L22" s="29"/>
      <c r="Q22" s="31"/>
    </row>
    <row r="23" spans="1:19" s="30" customFormat="1" x14ac:dyDescent="0.2">
      <c r="A23" s="18"/>
      <c r="B23" s="14"/>
      <c r="H23" s="30" t="s">
        <v>411</v>
      </c>
      <c r="I23" s="24"/>
      <c r="J23" s="25"/>
      <c r="K23" s="27" t="s">
        <v>359</v>
      </c>
      <c r="L23" s="29"/>
      <c r="Q23" s="31"/>
    </row>
    <row r="24" spans="1:19" x14ac:dyDescent="0.2">
      <c r="A24" s="18"/>
      <c r="B24" s="14"/>
      <c r="H24" s="30" t="s">
        <v>338</v>
      </c>
      <c r="I24" s="24"/>
      <c r="J24" s="26" t="s">
        <v>363</v>
      </c>
      <c r="K24" s="27"/>
      <c r="L24" s="29"/>
      <c r="Q24" s="31"/>
    </row>
    <row r="25" spans="1:19" x14ac:dyDescent="0.2">
      <c r="A25" s="18"/>
      <c r="B25" s="14"/>
      <c r="H25" s="30" t="s">
        <v>338</v>
      </c>
      <c r="I25" s="24"/>
      <c r="J25" s="26" t="s">
        <v>446</v>
      </c>
      <c r="K25" s="27"/>
      <c r="L25" s="29"/>
    </row>
    <row r="26" spans="1:19" x14ac:dyDescent="0.2">
      <c r="A26" s="18"/>
      <c r="B26" s="14"/>
      <c r="H26" s="30" t="s">
        <v>446</v>
      </c>
      <c r="I26" s="24"/>
      <c r="J26" s="25"/>
      <c r="K26" s="28" t="s">
        <v>365</v>
      </c>
      <c r="L26" s="29"/>
      <c r="Q26" s="31"/>
    </row>
    <row r="27" spans="1:19" x14ac:dyDescent="0.2">
      <c r="A27" s="18"/>
      <c r="B27" s="14"/>
      <c r="H27" s="30" t="s">
        <v>446</v>
      </c>
      <c r="I27" s="24"/>
      <c r="J27" s="25"/>
      <c r="K27" s="28" t="s">
        <v>367</v>
      </c>
      <c r="L27" s="29"/>
      <c r="Q27" s="31"/>
    </row>
    <row r="28" spans="1:19" x14ac:dyDescent="0.2">
      <c r="A28" s="18"/>
      <c r="B28" s="14"/>
      <c r="H28" s="30" t="s">
        <v>446</v>
      </c>
      <c r="I28" s="24"/>
      <c r="J28" s="25"/>
      <c r="K28" s="28" t="s">
        <v>541</v>
      </c>
      <c r="L28" s="29"/>
      <c r="Q28" s="31"/>
    </row>
    <row r="29" spans="1:19" x14ac:dyDescent="0.2">
      <c r="A29" s="18"/>
      <c r="B29" s="14"/>
      <c r="H29" s="30" t="s">
        <v>338</v>
      </c>
      <c r="I29" s="24"/>
      <c r="J29" s="26" t="s">
        <v>371</v>
      </c>
      <c r="K29" s="27"/>
      <c r="L29" s="29"/>
      <c r="Q29" s="31"/>
    </row>
    <row r="30" spans="1:19" x14ac:dyDescent="0.2">
      <c r="A30" s="18"/>
      <c r="B30" s="14"/>
      <c r="H30" s="30" t="s">
        <v>338</v>
      </c>
      <c r="I30" s="24"/>
      <c r="J30" s="26" t="s">
        <v>373</v>
      </c>
      <c r="K30" s="27"/>
      <c r="L30" s="29"/>
    </row>
    <row r="31" spans="1:19" s="30" customFormat="1" x14ac:dyDescent="0.2">
      <c r="A31" s="18"/>
      <c r="B31" s="14"/>
      <c r="H31" s="30" t="s">
        <v>373</v>
      </c>
      <c r="I31" s="24"/>
      <c r="J31" s="26"/>
      <c r="K31" s="27" t="s">
        <v>478</v>
      </c>
      <c r="L31" s="29"/>
      <c r="M31" s="33"/>
      <c r="N31" s="33"/>
      <c r="O31" s="33"/>
      <c r="P31" s="33"/>
      <c r="Q31" s="32"/>
      <c r="R31" s="33"/>
      <c r="S31" s="33"/>
    </row>
    <row r="32" spans="1:19" s="30" customFormat="1" x14ac:dyDescent="0.2">
      <c r="A32" s="18"/>
      <c r="B32" s="14"/>
      <c r="H32" s="30" t="s">
        <v>373</v>
      </c>
      <c r="I32" s="24"/>
      <c r="J32" s="26"/>
      <c r="K32" s="27" t="s">
        <v>479</v>
      </c>
      <c r="L32" s="29"/>
      <c r="M32" s="33"/>
      <c r="N32" s="33"/>
      <c r="O32" s="33"/>
      <c r="P32" s="33"/>
      <c r="Q32" s="32"/>
      <c r="R32" s="33"/>
      <c r="S32" s="33"/>
    </row>
    <row r="33" spans="1:19" s="30" customFormat="1" x14ac:dyDescent="0.2">
      <c r="A33" s="18"/>
      <c r="B33" s="14"/>
      <c r="H33" s="30" t="s">
        <v>373</v>
      </c>
      <c r="I33" s="24"/>
      <c r="J33" s="26"/>
      <c r="K33" s="27" t="s">
        <v>481</v>
      </c>
      <c r="L33" s="29"/>
      <c r="M33" s="33"/>
      <c r="N33" s="33"/>
      <c r="O33" s="33"/>
      <c r="P33" s="33"/>
      <c r="Q33" s="32"/>
      <c r="R33" s="33"/>
      <c r="S33" s="33"/>
    </row>
    <row r="34" spans="1:19" s="30" customFormat="1" x14ac:dyDescent="0.2">
      <c r="A34" s="18"/>
      <c r="B34" s="14"/>
      <c r="H34" s="30" t="s">
        <v>373</v>
      </c>
      <c r="I34" s="24"/>
      <c r="J34" s="26"/>
      <c r="K34" s="27" t="s">
        <v>483</v>
      </c>
      <c r="L34" s="29"/>
      <c r="M34" s="33"/>
      <c r="N34" s="33"/>
      <c r="O34" s="33"/>
      <c r="P34" s="33"/>
      <c r="Q34" s="32"/>
      <c r="R34" s="33"/>
      <c r="S34" s="33"/>
    </row>
    <row r="35" spans="1:19" s="30" customFormat="1" x14ac:dyDescent="0.2">
      <c r="A35" s="18"/>
      <c r="B35" s="14"/>
      <c r="H35" s="30" t="s">
        <v>373</v>
      </c>
      <c r="I35" s="24"/>
      <c r="J35" s="26"/>
      <c r="K35" s="27" t="s">
        <v>480</v>
      </c>
      <c r="L35" s="29"/>
      <c r="M35" s="33"/>
      <c r="N35" s="33"/>
      <c r="O35" s="33"/>
      <c r="P35" s="33"/>
      <c r="Q35" s="32"/>
      <c r="R35" s="33"/>
      <c r="S35" s="33"/>
    </row>
    <row r="36" spans="1:19" s="30" customFormat="1" x14ac:dyDescent="0.2">
      <c r="A36" s="18"/>
      <c r="B36" s="14"/>
      <c r="H36" s="30" t="s">
        <v>373</v>
      </c>
      <c r="I36" s="24"/>
      <c r="J36" s="26"/>
      <c r="K36" s="27" t="s">
        <v>482</v>
      </c>
      <c r="L36" s="29"/>
      <c r="M36" s="33"/>
      <c r="N36" s="33"/>
      <c r="O36" s="33"/>
      <c r="P36" s="33"/>
      <c r="Q36" s="32"/>
      <c r="R36" s="33"/>
      <c r="S36" s="33"/>
    </row>
    <row r="37" spans="1:19" s="30" customFormat="1" x14ac:dyDescent="0.2">
      <c r="A37" s="18"/>
      <c r="B37" s="14"/>
      <c r="H37" s="30" t="s">
        <v>373</v>
      </c>
      <c r="I37" s="24"/>
      <c r="J37" s="26"/>
      <c r="K37" s="27" t="s">
        <v>539</v>
      </c>
      <c r="L37" s="29"/>
      <c r="M37" s="33"/>
      <c r="N37" s="33"/>
      <c r="O37" s="33"/>
      <c r="P37" s="33"/>
      <c r="Q37" s="32"/>
      <c r="R37" s="33"/>
      <c r="S37" s="33"/>
    </row>
    <row r="38" spans="1:19" x14ac:dyDescent="0.2">
      <c r="A38" s="18"/>
      <c r="B38" s="14"/>
      <c r="H38" s="30" t="s">
        <v>338</v>
      </c>
      <c r="I38" s="24"/>
      <c r="J38" s="26" t="s">
        <v>375</v>
      </c>
      <c r="K38" s="27"/>
      <c r="L38" s="29"/>
      <c r="M38" s="33"/>
      <c r="N38" s="33"/>
      <c r="O38" s="33"/>
      <c r="P38" s="33"/>
      <c r="Q38" s="32"/>
      <c r="R38" s="33"/>
      <c r="S38" s="33"/>
    </row>
    <row r="39" spans="1:19" x14ac:dyDescent="0.2">
      <c r="A39" s="18"/>
      <c r="B39" s="14"/>
      <c r="H39" s="30" t="s">
        <v>338</v>
      </c>
      <c r="I39" s="24"/>
      <c r="J39" s="26" t="s">
        <v>377</v>
      </c>
      <c r="K39" s="27"/>
      <c r="L39" s="29"/>
      <c r="M39" s="33"/>
      <c r="N39" s="33"/>
      <c r="O39" s="33"/>
      <c r="P39" s="33"/>
      <c r="Q39" s="32"/>
      <c r="R39" s="33"/>
      <c r="S39" s="33"/>
    </row>
    <row r="40" spans="1:19" x14ac:dyDescent="0.2">
      <c r="A40" s="18"/>
      <c r="B40" s="14"/>
      <c r="H40" s="30" t="s">
        <v>338</v>
      </c>
      <c r="I40" s="24"/>
      <c r="J40" s="26" t="s">
        <v>448</v>
      </c>
      <c r="K40" s="27"/>
      <c r="L40" s="29"/>
      <c r="M40" s="33"/>
      <c r="N40" s="33"/>
      <c r="O40" s="33"/>
      <c r="P40" s="33"/>
      <c r="Q40" s="33"/>
      <c r="R40" s="33"/>
      <c r="S40" s="33"/>
    </row>
    <row r="41" spans="1:19" x14ac:dyDescent="0.2">
      <c r="A41" s="18"/>
      <c r="B41" s="14"/>
      <c r="H41" s="30" t="s">
        <v>448</v>
      </c>
      <c r="I41" s="24"/>
      <c r="J41" s="26"/>
      <c r="K41" s="27" t="s">
        <v>129</v>
      </c>
      <c r="L41" s="29"/>
      <c r="M41" s="33"/>
      <c r="N41" s="33"/>
      <c r="O41" s="33"/>
      <c r="P41" s="33"/>
      <c r="Q41" s="32"/>
      <c r="R41" s="33"/>
      <c r="S41" s="33"/>
    </row>
    <row r="42" spans="1:19" x14ac:dyDescent="0.2">
      <c r="A42" s="18"/>
      <c r="B42" s="14"/>
      <c r="H42" s="30" t="s">
        <v>448</v>
      </c>
      <c r="I42" s="24"/>
      <c r="J42" s="26"/>
      <c r="K42" s="27" t="s">
        <v>130</v>
      </c>
      <c r="L42" s="29"/>
      <c r="M42" s="33"/>
      <c r="N42" s="33"/>
      <c r="O42" s="33"/>
      <c r="P42" s="33"/>
      <c r="Q42" s="32"/>
      <c r="R42" s="33"/>
      <c r="S42" s="33"/>
    </row>
    <row r="43" spans="1:19" x14ac:dyDescent="0.2">
      <c r="A43" s="18"/>
      <c r="B43" s="14"/>
      <c r="H43" s="30" t="s">
        <v>448</v>
      </c>
      <c r="I43" s="24"/>
      <c r="J43" s="26"/>
      <c r="K43" s="27" t="s">
        <v>385</v>
      </c>
      <c r="L43" s="29"/>
      <c r="M43" s="33"/>
      <c r="N43" s="33"/>
      <c r="O43" s="33"/>
      <c r="P43" s="33"/>
      <c r="Q43" s="32"/>
      <c r="R43" s="33"/>
      <c r="S43" s="33"/>
    </row>
    <row r="44" spans="1:19" s="30" customFormat="1" x14ac:dyDescent="0.2">
      <c r="A44" s="18"/>
      <c r="B44" s="14"/>
      <c r="H44" s="30" t="s">
        <v>448</v>
      </c>
      <c r="I44" s="24"/>
      <c r="J44" s="26"/>
      <c r="K44" s="27" t="s">
        <v>495</v>
      </c>
      <c r="L44" s="29"/>
      <c r="M44" s="33"/>
      <c r="N44" s="33"/>
      <c r="O44" s="33"/>
      <c r="P44" s="33"/>
      <c r="Q44" s="32"/>
      <c r="R44" s="33"/>
      <c r="S44" s="33"/>
    </row>
    <row r="45" spans="1:19" x14ac:dyDescent="0.2">
      <c r="A45" s="18"/>
      <c r="B45" s="14"/>
      <c r="H45" s="30" t="s">
        <v>448</v>
      </c>
      <c r="I45" s="24"/>
      <c r="J45" s="26"/>
      <c r="K45" s="27" t="s">
        <v>477</v>
      </c>
      <c r="L45" s="29"/>
      <c r="M45" s="33"/>
      <c r="N45" s="33"/>
      <c r="O45" s="33"/>
      <c r="P45" s="33"/>
      <c r="Q45" s="32"/>
      <c r="R45" s="33"/>
      <c r="S45" s="33"/>
    </row>
    <row r="46" spans="1:19" x14ac:dyDescent="0.2">
      <c r="A46" s="18"/>
      <c r="B46" s="14"/>
      <c r="H46" s="30" t="s">
        <v>338</v>
      </c>
      <c r="I46" s="24"/>
      <c r="J46" s="26" t="s">
        <v>449</v>
      </c>
      <c r="K46" s="27"/>
      <c r="L46" s="29"/>
      <c r="M46" s="33"/>
      <c r="N46" s="33"/>
      <c r="O46" s="33"/>
      <c r="P46" s="33"/>
      <c r="Q46" s="33"/>
      <c r="R46" s="33"/>
      <c r="S46" s="33"/>
    </row>
    <row r="47" spans="1:19" s="30" customFormat="1" x14ac:dyDescent="0.2">
      <c r="A47" s="18"/>
      <c r="B47" s="14"/>
      <c r="H47" s="30" t="s">
        <v>449</v>
      </c>
      <c r="I47" s="24"/>
      <c r="J47" s="26"/>
      <c r="K47" s="34" t="s">
        <v>548</v>
      </c>
      <c r="L47" s="29"/>
      <c r="M47" s="33"/>
      <c r="N47" s="33"/>
      <c r="O47" s="33"/>
      <c r="P47" s="33"/>
      <c r="Q47" s="33"/>
      <c r="R47" s="33"/>
      <c r="S47" s="33"/>
    </row>
    <row r="48" spans="1:19" s="30" customFormat="1" x14ac:dyDescent="0.2">
      <c r="A48" s="18"/>
      <c r="B48" s="14"/>
      <c r="H48" s="30" t="s">
        <v>449</v>
      </c>
      <c r="I48" s="24"/>
      <c r="J48" s="26"/>
      <c r="K48" s="34" t="s">
        <v>549</v>
      </c>
      <c r="L48" s="29"/>
      <c r="M48" s="33"/>
      <c r="N48" s="33"/>
      <c r="O48" s="33"/>
      <c r="P48" s="33"/>
      <c r="Q48" s="33"/>
      <c r="R48" s="33"/>
      <c r="S48" s="33"/>
    </row>
    <row r="49" spans="1:19" s="30" customFormat="1" x14ac:dyDescent="0.2">
      <c r="A49" s="18"/>
      <c r="B49" s="14"/>
      <c r="H49" s="30" t="s">
        <v>338</v>
      </c>
      <c r="I49" s="24"/>
      <c r="J49" s="26" t="s">
        <v>560</v>
      </c>
      <c r="K49" s="27"/>
      <c r="L49" s="29"/>
      <c r="M49" s="33"/>
      <c r="N49" s="33"/>
      <c r="O49" s="33"/>
      <c r="P49" s="33"/>
      <c r="Q49" s="32"/>
      <c r="R49" s="33"/>
      <c r="S49" s="33"/>
    </row>
    <row r="50" spans="1:19" s="30" customFormat="1" x14ac:dyDescent="0.2">
      <c r="A50" s="18"/>
      <c r="B50" s="14"/>
      <c r="H50" s="30" t="s">
        <v>560</v>
      </c>
      <c r="I50" s="24"/>
      <c r="J50" s="26"/>
      <c r="K50" s="34" t="s">
        <v>550</v>
      </c>
      <c r="L50" s="29"/>
      <c r="M50" s="33"/>
      <c r="N50" s="33"/>
      <c r="O50" s="33"/>
      <c r="P50" s="33"/>
      <c r="Q50" s="32"/>
      <c r="R50" s="33"/>
      <c r="S50" s="33"/>
    </row>
    <row r="51" spans="1:19" x14ac:dyDescent="0.2">
      <c r="A51" s="18"/>
      <c r="B51" s="14"/>
      <c r="H51" s="30" t="s">
        <v>338</v>
      </c>
      <c r="I51" s="24"/>
      <c r="J51" s="26" t="s">
        <v>392</v>
      </c>
      <c r="K51" s="27"/>
      <c r="L51" s="29"/>
      <c r="M51" s="33"/>
      <c r="N51" s="33"/>
      <c r="O51" s="33"/>
      <c r="P51" s="33"/>
      <c r="Q51" s="32"/>
      <c r="R51" s="33"/>
      <c r="S51" s="33"/>
    </row>
    <row r="52" spans="1:19" s="30" customFormat="1" x14ac:dyDescent="0.2">
      <c r="A52" s="18"/>
      <c r="B52" s="14"/>
      <c r="H52" s="30" t="s">
        <v>338</v>
      </c>
      <c r="I52" s="24"/>
      <c r="J52" s="26" t="s">
        <v>555</v>
      </c>
      <c r="K52" s="27"/>
      <c r="L52" s="29"/>
      <c r="M52" s="33"/>
      <c r="N52" s="33"/>
      <c r="O52" s="33"/>
      <c r="P52" s="33"/>
      <c r="Q52" s="32"/>
      <c r="R52" s="33"/>
      <c r="S52" s="33"/>
    </row>
    <row r="53" spans="1:19" x14ac:dyDescent="0.2">
      <c r="A53" s="18"/>
      <c r="B53" s="14"/>
      <c r="H53" s="30" t="s">
        <v>555</v>
      </c>
      <c r="I53" s="24"/>
      <c r="J53" s="26"/>
      <c r="K53" s="27" t="s">
        <v>551</v>
      </c>
      <c r="L53" s="29"/>
      <c r="Q53" s="31"/>
    </row>
    <row r="54" spans="1:19" s="30" customFormat="1" x14ac:dyDescent="0.2">
      <c r="A54" s="18"/>
      <c r="B54" s="14"/>
      <c r="H54" s="30" t="s">
        <v>555</v>
      </c>
      <c r="I54" s="24"/>
      <c r="J54" s="26"/>
      <c r="K54" s="27" t="s">
        <v>552</v>
      </c>
      <c r="L54" s="29"/>
      <c r="Q54" s="31"/>
    </row>
    <row r="55" spans="1:19" s="30" customFormat="1" x14ac:dyDescent="0.2">
      <c r="A55" s="18"/>
      <c r="B55" s="14"/>
      <c r="H55" s="30" t="s">
        <v>555</v>
      </c>
      <c r="I55" s="24"/>
      <c r="J55" s="26"/>
      <c r="K55" s="27" t="s">
        <v>553</v>
      </c>
      <c r="L55" s="29"/>
      <c r="Q55" s="31"/>
    </row>
    <row r="56" spans="1:19" s="30" customFormat="1" x14ac:dyDescent="0.2">
      <c r="A56" s="18"/>
      <c r="B56" s="14"/>
      <c r="H56" s="30" t="s">
        <v>555</v>
      </c>
      <c r="I56" s="24"/>
      <c r="J56" s="26"/>
      <c r="K56" s="27" t="s">
        <v>554</v>
      </c>
      <c r="L56" s="29"/>
      <c r="Q56" s="31"/>
    </row>
    <row r="57" spans="1:19" x14ac:dyDescent="0.2">
      <c r="A57" s="18"/>
      <c r="B57" s="14"/>
      <c r="H57" s="30" t="s">
        <v>338</v>
      </c>
      <c r="I57" s="24"/>
      <c r="J57" s="26" t="s">
        <v>400</v>
      </c>
      <c r="K57" s="27"/>
      <c r="L57" s="29"/>
      <c r="Q57" s="31"/>
    </row>
    <row r="58" spans="1:19" x14ac:dyDescent="0.2">
      <c r="A58" s="18"/>
      <c r="B58" s="14"/>
    </row>
    <row r="59" spans="1:19" x14ac:dyDescent="0.2">
      <c r="A59" s="18"/>
      <c r="B59" s="14"/>
    </row>
    <row r="60" spans="1:19" x14ac:dyDescent="0.2">
      <c r="A60" s="18"/>
      <c r="B60" s="14"/>
      <c r="P60" s="31"/>
    </row>
    <row r="61" spans="1:19" x14ac:dyDescent="0.2">
      <c r="P61" s="31"/>
    </row>
    <row r="62" spans="1:19" x14ac:dyDescent="0.2">
      <c r="J62" t="s">
        <v>496</v>
      </c>
    </row>
    <row r="63" spans="1:19" x14ac:dyDescent="0.2">
      <c r="J63" t="s">
        <v>497</v>
      </c>
      <c r="O63" s="31"/>
    </row>
    <row r="64" spans="1:19" x14ac:dyDescent="0.2">
      <c r="J64" t="s">
        <v>498</v>
      </c>
      <c r="O64" s="31"/>
    </row>
    <row r="65" spans="10:16" x14ac:dyDescent="0.2">
      <c r="J65" s="30" t="s">
        <v>499</v>
      </c>
      <c r="O65" s="31"/>
    </row>
    <row r="66" spans="10:16" x14ac:dyDescent="0.2">
      <c r="J66" s="30" t="s">
        <v>500</v>
      </c>
      <c r="O66" s="31"/>
    </row>
    <row r="67" spans="10:16" x14ac:dyDescent="0.2">
      <c r="J67" s="30" t="s">
        <v>501</v>
      </c>
      <c r="O67" s="31"/>
    </row>
    <row r="68" spans="10:16" x14ac:dyDescent="0.2">
      <c r="J68" s="30" t="s">
        <v>502</v>
      </c>
      <c r="O68" s="31"/>
    </row>
    <row r="69" spans="10:16" x14ac:dyDescent="0.2">
      <c r="J69" s="30" t="s">
        <v>503</v>
      </c>
      <c r="O69" s="31"/>
    </row>
    <row r="70" spans="10:16" x14ac:dyDescent="0.2">
      <c r="J70" s="30" t="s">
        <v>504</v>
      </c>
      <c r="M70" s="30" t="s">
        <v>484</v>
      </c>
      <c r="P70" s="31"/>
    </row>
    <row r="71" spans="10:16" x14ac:dyDescent="0.2">
      <c r="J71" s="30" t="s">
        <v>505</v>
      </c>
      <c r="P71" s="31"/>
    </row>
    <row r="72" spans="10:16" x14ac:dyDescent="0.2">
      <c r="J72" s="30" t="s">
        <v>506</v>
      </c>
      <c r="P72" s="31"/>
    </row>
    <row r="73" spans="10:16" x14ac:dyDescent="0.2">
      <c r="J73" s="30" t="s">
        <v>507</v>
      </c>
      <c r="P73" s="31"/>
    </row>
    <row r="74" spans="10:16" x14ac:dyDescent="0.2">
      <c r="J74" s="30" t="s">
        <v>508</v>
      </c>
    </row>
    <row r="75" spans="10:16" x14ac:dyDescent="0.2">
      <c r="J75" s="30" t="s">
        <v>509</v>
      </c>
    </row>
    <row r="76" spans="10:16" x14ac:dyDescent="0.2">
      <c r="J76" s="30" t="s">
        <v>510</v>
      </c>
    </row>
    <row r="77" spans="10:16" x14ac:dyDescent="0.2">
      <c r="J77" s="30" t="s">
        <v>511</v>
      </c>
    </row>
    <row r="78" spans="10:16" x14ac:dyDescent="0.2">
      <c r="J78" s="30" t="s">
        <v>512</v>
      </c>
    </row>
    <row r="79" spans="10:16" x14ac:dyDescent="0.2">
      <c r="J79" s="30" t="s">
        <v>513</v>
      </c>
    </row>
    <row r="80" spans="10:16" x14ac:dyDescent="0.2">
      <c r="J80" s="30" t="s">
        <v>514</v>
      </c>
    </row>
    <row r="81" spans="10:10" x14ac:dyDescent="0.2">
      <c r="J81" s="30" t="s">
        <v>515</v>
      </c>
    </row>
    <row r="82" spans="10:10" x14ac:dyDescent="0.2">
      <c r="J82" s="30" t="s">
        <v>516</v>
      </c>
    </row>
    <row r="83" spans="10:10" x14ac:dyDescent="0.2">
      <c r="J83" s="30" t="s">
        <v>517</v>
      </c>
    </row>
    <row r="84" spans="10:10" x14ac:dyDescent="0.2">
      <c r="J84" s="30" t="s">
        <v>518</v>
      </c>
    </row>
    <row r="85" spans="10:10" x14ac:dyDescent="0.2">
      <c r="J85" s="30" t="s">
        <v>519</v>
      </c>
    </row>
    <row r="86" spans="10:10" x14ac:dyDescent="0.2">
      <c r="J86" s="30" t="s">
        <v>520</v>
      </c>
    </row>
    <row r="87" spans="10:10" x14ac:dyDescent="0.2">
      <c r="J87" s="30" t="s">
        <v>542</v>
      </c>
    </row>
    <row r="88" spans="10:10" x14ac:dyDescent="0.2">
      <c r="J88" s="30" t="s">
        <v>521</v>
      </c>
    </row>
    <row r="89" spans="10:10" x14ac:dyDescent="0.2">
      <c r="J89" s="30" t="s">
        <v>522</v>
      </c>
    </row>
    <row r="90" spans="10:10" x14ac:dyDescent="0.2">
      <c r="J90" s="30" t="s">
        <v>523</v>
      </c>
    </row>
    <row r="91" spans="10:10" x14ac:dyDescent="0.2">
      <c r="J91" s="30" t="s">
        <v>524</v>
      </c>
    </row>
    <row r="92" spans="10:10" x14ac:dyDescent="0.2">
      <c r="J92" s="30" t="s">
        <v>525</v>
      </c>
    </row>
    <row r="93" spans="10:10" x14ac:dyDescent="0.2">
      <c r="J93" s="30" t="s">
        <v>526</v>
      </c>
    </row>
    <row r="94" spans="10:10" x14ac:dyDescent="0.2">
      <c r="J94" s="30" t="s">
        <v>527</v>
      </c>
    </row>
    <row r="95" spans="10:10" x14ac:dyDescent="0.2">
      <c r="J95" s="30" t="s">
        <v>528</v>
      </c>
    </row>
    <row r="96" spans="10:10" x14ac:dyDescent="0.2">
      <c r="J96" s="30" t="s">
        <v>540</v>
      </c>
    </row>
    <row r="97" spans="10:10" x14ac:dyDescent="0.2">
      <c r="J97" s="30" t="s">
        <v>529</v>
      </c>
    </row>
    <row r="98" spans="10:10" x14ac:dyDescent="0.2">
      <c r="J98" s="30" t="s">
        <v>530</v>
      </c>
    </row>
    <row r="99" spans="10:10" x14ac:dyDescent="0.2">
      <c r="J99" s="30" t="s">
        <v>531</v>
      </c>
    </row>
    <row r="100" spans="10:10" x14ac:dyDescent="0.2">
      <c r="J100" s="30" t="s">
        <v>532</v>
      </c>
    </row>
    <row r="101" spans="10:10" x14ac:dyDescent="0.2">
      <c r="J101" s="30" t="s">
        <v>533</v>
      </c>
    </row>
    <row r="102" spans="10:10" x14ac:dyDescent="0.2">
      <c r="J102" s="30" t="s">
        <v>534</v>
      </c>
    </row>
    <row r="103" spans="10:10" x14ac:dyDescent="0.2">
      <c r="J103" s="30" t="s">
        <v>535</v>
      </c>
    </row>
    <row r="104" spans="10:10" x14ac:dyDescent="0.2">
      <c r="J104" s="30" t="s">
        <v>536</v>
      </c>
    </row>
    <row r="105" spans="10:10" x14ac:dyDescent="0.2">
      <c r="J105" s="30" t="s">
        <v>544</v>
      </c>
    </row>
    <row r="106" spans="10:10" x14ac:dyDescent="0.2">
      <c r="J106" s="30" t="s">
        <v>545</v>
      </c>
    </row>
    <row r="107" spans="10:10" x14ac:dyDescent="0.2">
      <c r="J107" s="30" t="s">
        <v>546</v>
      </c>
    </row>
    <row r="108" spans="10:10" x14ac:dyDescent="0.2">
      <c r="J108" s="30" t="s">
        <v>547</v>
      </c>
    </row>
    <row r="109" spans="10:10" x14ac:dyDescent="0.2">
      <c r="J109" s="30" t="s">
        <v>561</v>
      </c>
    </row>
    <row r="110" spans="10:10" x14ac:dyDescent="0.2">
      <c r="J110" s="30" t="s">
        <v>537</v>
      </c>
    </row>
    <row r="111" spans="10:10" x14ac:dyDescent="0.2">
      <c r="J111" s="30" t="s">
        <v>543</v>
      </c>
    </row>
    <row r="112" spans="10:10" x14ac:dyDescent="0.2">
      <c r="J112" s="30" t="s">
        <v>556</v>
      </c>
    </row>
    <row r="113" spans="10:10" x14ac:dyDescent="0.2">
      <c r="J113" s="30" t="s">
        <v>557</v>
      </c>
    </row>
    <row r="114" spans="10:10" x14ac:dyDescent="0.2">
      <c r="J114" s="30" t="s">
        <v>558</v>
      </c>
    </row>
    <row r="115" spans="10:10" x14ac:dyDescent="0.2">
      <c r="J115" s="30" t="s">
        <v>559</v>
      </c>
    </row>
    <row r="116" spans="10:10" x14ac:dyDescent="0.2">
      <c r="J116" s="30" t="s">
        <v>538</v>
      </c>
    </row>
    <row r="117" spans="10:10" x14ac:dyDescent="0.2">
      <c r="J117" s="30"/>
    </row>
    <row r="118" spans="10:10" x14ac:dyDescent="0.2">
      <c r="J118" s="30"/>
    </row>
    <row r="119" spans="10:10" x14ac:dyDescent="0.2">
      <c r="J119" s="30"/>
    </row>
    <row r="120" spans="10:10" x14ac:dyDescent="0.2">
      <c r="J120" s="30"/>
    </row>
    <row r="121" spans="10:10" x14ac:dyDescent="0.2">
      <c r="J121" s="30"/>
    </row>
    <row r="122" spans="10:10" x14ac:dyDescent="0.2">
      <c r="J122" s="30"/>
    </row>
    <row r="123" spans="10:10" x14ac:dyDescent="0.2">
      <c r="J123" s="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svod</vt:lpstr>
      <vt:lpstr>base</vt:lpstr>
      <vt:lpstr>Sheet1</vt:lpstr>
      <vt:lpstr>Sheet1 (ish) (4)</vt:lpstr>
      <vt:lpstr>test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Andrey Kozhevnikov</cp:lastModifiedBy>
  <dcterms:created xsi:type="dcterms:W3CDTF">2012-05-11T13:11:35Z</dcterms:created>
  <dcterms:modified xsi:type="dcterms:W3CDTF">2013-11-12T16:10:08Z</dcterms:modified>
</cp:coreProperties>
</file>